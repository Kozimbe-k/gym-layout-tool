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Equipment" sheetId="2" state="visible" r:id="rId2"/>
    <sheet name="Space Types" sheetId="3" state="visible" r:id="rId3"/>
    <sheet name="Recommendation Model" sheetId="4" state="visible" r:id="rId4"/>
    <sheet name="Scenario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</font>
    <font>
      <name val="Arial"/>
      <color rgb="00000000"/>
    </font>
    <font>
      <name val="Arial"/>
      <b val="1"/>
    </font>
    <font>
      <name val="Arial"/>
      <b val="1"/>
      <color rgb="00FFFFFF"/>
    </font>
    <font>
      <name val="Arial"/>
      <color rgb="000000FF"/>
    </font>
    <font>
      <name val="Arial"/>
      <b val="1"/>
      <sz val="13"/>
    </font>
    <font>
      <name val="Arial"/>
      <b val="1"/>
      <sz val="12"/>
    </font>
  </fonts>
  <fills count="6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FFFCC"/>
        <bgColor rgb="00FFFFCC"/>
      </patternFill>
    </fill>
    <fill>
      <patternFill patternType="solid">
        <fgColor rgb="00EFEFEF"/>
        <bgColor rgb="00EFEFEF"/>
      </patternFill>
    </fill>
    <fill>
      <patternFill patternType="solid">
        <fgColor rgb="00D9E8FB"/>
        <bgColor rgb="00D9E8FB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5" fillId="2" borderId="0" applyAlignment="1" pivotButton="0" quotePrefix="0" xfId="0">
      <alignment horizontal="center" wrapText="1"/>
    </xf>
    <xf numFmtId="0" fontId="3" fillId="0" borderId="1" pivotButton="0" quotePrefix="0" xfId="0"/>
    <xf numFmtId="0" fontId="6" fillId="3" borderId="1" pivotButton="0" quotePrefix="0" xfId="0"/>
    <xf numFmtId="164" fontId="6" fillId="3" borderId="1" pivotButton="0" quotePrefix="0" xfId="0"/>
    <xf numFmtId="2" fontId="3" fillId="0" borderId="1" pivotButton="0" quotePrefix="0" xfId="0"/>
    <xf numFmtId="165" fontId="6" fillId="3" borderId="1" pivotButton="0" quotePrefix="0" xfId="0"/>
    <xf numFmtId="0" fontId="4" fillId="0" borderId="0" pivotButton="0" quotePrefix="0" xfId="0"/>
    <xf numFmtId="165" fontId="4" fillId="0" borderId="0" pivotButton="0" quotePrefix="0" xfId="0"/>
    <xf numFmtId="0" fontId="7" fillId="0" borderId="0" pivotButton="0" quotePrefix="0" xfId="0"/>
    <xf numFmtId="0" fontId="4" fillId="0" borderId="0" applyAlignment="1" pivotButton="0" quotePrefix="0" xfId="0">
      <alignment horizontal="center"/>
    </xf>
    <xf numFmtId="1" fontId="6" fillId="3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3" fillId="4" borderId="1" pivotButton="0" quotePrefix="0" xfId="0"/>
    <xf numFmtId="2" fontId="4" fillId="0" borderId="0" pivotButton="0" quotePrefix="0" xfId="0"/>
    <xf numFmtId="0" fontId="8" fillId="0" borderId="0" pivotButton="0" quotePrefix="0" xfId="0"/>
    <xf numFmtId="2" fontId="0" fillId="4" borderId="1" pivotButton="0" quotePrefix="0" xfId="0"/>
    <xf numFmtId="165" fontId="0" fillId="4" borderId="1" pivotButton="0" quotePrefix="0" xfId="0"/>
    <xf numFmtId="0" fontId="0" fillId="4" borderId="1" pivotButton="0" quotePrefix="0" xfId="0"/>
    <xf numFmtId="0" fontId="4" fillId="5" borderId="1" pivotButton="0" quotePrefix="0" xfId="0"/>
    <xf numFmtId="2" fontId="4" fillId="5" borderId="1" pivotButton="0" quotePrefix="0" xfId="0"/>
    <xf numFmtId="165" fontId="4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Phase 1 — Equipment Recommendation Model (placeholder data)</t>
        </is>
      </c>
    </row>
    <row r="2">
      <c r="A2" s="2" t="inlineStr">
        <is>
          <t>Validates the rule-based recommendation logic before it's locked into the Supabase schema.</t>
        </is>
      </c>
    </row>
    <row r="3">
      <c r="A3" s="3" t="inlineStr"/>
    </row>
    <row r="4">
      <c r="A4" s="4" t="inlineStr">
        <is>
          <t>How this model works:</t>
        </is>
      </c>
    </row>
    <row r="5">
      <c r="A5" s="3" t="inlineStr">
        <is>
          <t>1. Equipment sheet: catalog of placeholder gym equipment with footprint + clearance zone -&gt; effective floor area per unit.</t>
        </is>
      </c>
    </row>
    <row r="6">
      <c r="A6" s="3" t="inlineStr">
        <is>
          <t>2. Space Types sheet: splits total room area into zone percentages (Cardio, Free Weights, Machines, Functional, Recovery).</t>
        </is>
      </c>
    </row>
    <row r="7">
      <c r="A7" s="3" t="inlineStr">
        <is>
          <t>3. Recommendation Model sheet: for 3 test room sizes, greedily fills each zone's area budget with equipment in priority order (highest priority first), computing a recommended quantity per item.</t>
        </is>
      </c>
    </row>
    <row r="8">
      <c r="A8" s="3" t="inlineStr">
        <is>
          <t>4. Scenario Summary sheet: rolls up budget vs. area used and total equipment count per zone, per scenario, so you can sanity-check whether the output looks right.</t>
        </is>
      </c>
    </row>
    <row r="9">
      <c r="A9" s="3" t="inlineStr"/>
    </row>
    <row r="10">
      <c r="A10" s="4" t="inlineStr">
        <is>
          <t>What to check before we lock the DB schema:</t>
        </is>
      </c>
    </row>
    <row r="11">
      <c r="A11" s="3" t="inlineStr">
        <is>
          <t>- Do the zone % splits (Space Types sheet, column B) match how you'd actually want a gym floor divided?</t>
        </is>
      </c>
    </row>
    <row r="12">
      <c r="A12" s="3" t="inlineStr">
        <is>
          <t>- Does the priority order per zone (Equipment sheet, column D) match what you'd want recommended first?</t>
        </is>
      </c>
    </row>
    <row r="13">
      <c r="A13" s="3" t="inlineStr">
        <is>
          <t>- Does the utilization % in Scenario Summary look reasonable (not wildly over/under 100%)?</t>
        </is>
      </c>
    </row>
    <row r="14">
      <c r="A14" s="3" t="inlineStr">
        <is>
          <t>- Real Matrix Fitness equipment (names, dimensions, clearances) will replace the placeholder rows in the Equipment sheet later — the formulas/logic stay the same.</t>
        </is>
      </c>
    </row>
    <row r="15">
      <c r="A15" s="3" t="inlineStr"/>
    </row>
    <row r="16">
      <c r="A16" s="3" t="inlineStr">
        <is>
          <t>Everything in yellow-shaded cells is a hardcoded input you can change to test different assumptions; everything else is a formula.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6" customWidth="1" min="3" max="3"/>
    <col width="9" customWidth="1" min="4" max="4"/>
    <col width="14" customWidth="1" min="5" max="5"/>
    <col width="14" customWidth="1" min="6" max="6"/>
    <col width="16" customWidth="1" min="7" max="7"/>
    <col width="12" customWidth="1" min="8" max="8"/>
    <col width="13" customWidth="1" min="9" max="9"/>
    <col width="13" customWidth="1" min="10" max="10"/>
    <col width="15" customWidth="1" min="11" max="11"/>
  </cols>
  <sheetData>
    <row r="1">
      <c r="A1" s="5" t="inlineStr">
        <is>
          <t>ID</t>
        </is>
      </c>
      <c r="B1" s="5" t="inlineStr">
        <is>
          <t>Zone</t>
        </is>
      </c>
      <c r="C1" s="5" t="inlineStr">
        <is>
          <t>Equipment Name</t>
        </is>
      </c>
      <c r="D1" s="5" t="inlineStr">
        <is>
          <t>Priority</t>
        </is>
      </c>
      <c r="E1" s="5" t="inlineStr">
        <is>
          <t>Footprint L (m)</t>
        </is>
      </c>
      <c r="F1" s="5" t="inlineStr">
        <is>
          <t>Footprint W (m)</t>
        </is>
      </c>
      <c r="G1" s="5" t="inlineStr">
        <is>
          <t>Footprint Area (sqm)</t>
        </is>
      </c>
      <c r="H1" s="5" t="inlineStr">
        <is>
          <t>Clearance (m)</t>
        </is>
      </c>
      <c r="I1" s="5" t="inlineStr">
        <is>
          <t>Effective L (m)</t>
        </is>
      </c>
      <c r="J1" s="5" t="inlineStr">
        <is>
          <t>Effective W (m)</t>
        </is>
      </c>
      <c r="K1" s="5" t="inlineStr">
        <is>
          <t>Effective Area (sqm)</t>
        </is>
      </c>
    </row>
    <row r="2">
      <c r="A2" s="6" t="n">
        <v>1</v>
      </c>
      <c r="B2" s="6" t="inlineStr">
        <is>
          <t>Cardio Zone</t>
        </is>
      </c>
      <c r="C2" s="6" t="inlineStr">
        <is>
          <t>Treadmill</t>
        </is>
      </c>
      <c r="D2" s="7" t="n">
        <v>1</v>
      </c>
      <c r="E2" s="8" t="n">
        <v>2.2</v>
      </c>
      <c r="F2" s="8" t="n">
        <v>0.9</v>
      </c>
      <c r="G2" s="9">
        <f>E2*F2</f>
        <v/>
      </c>
      <c r="H2" s="8" t="n">
        <v>0.6</v>
      </c>
      <c r="I2" s="9">
        <f>E2+2*H2</f>
        <v/>
      </c>
      <c r="J2" s="9">
        <f>F2+2*H2</f>
        <v/>
      </c>
      <c r="K2" s="9">
        <f>I2*J2</f>
        <v/>
      </c>
    </row>
    <row r="3">
      <c r="A3" s="6" t="n">
        <v>2</v>
      </c>
      <c r="B3" s="6" t="inlineStr">
        <is>
          <t>Cardio Zone</t>
        </is>
      </c>
      <c r="C3" s="6" t="inlineStr">
        <is>
          <t>Elliptical</t>
        </is>
      </c>
      <c r="D3" s="7" t="n">
        <v>2</v>
      </c>
      <c r="E3" s="8" t="n">
        <v>1.8</v>
      </c>
      <c r="F3" s="8" t="n">
        <v>0.7</v>
      </c>
      <c r="G3" s="9">
        <f>E3*F3</f>
        <v/>
      </c>
      <c r="H3" s="8" t="n">
        <v>0.5</v>
      </c>
      <c r="I3" s="9">
        <f>E3+2*H3</f>
        <v/>
      </c>
      <c r="J3" s="9">
        <f>F3+2*H3</f>
        <v/>
      </c>
      <c r="K3" s="9">
        <f>I3*J3</f>
        <v/>
      </c>
    </row>
    <row r="4">
      <c r="A4" s="6" t="n">
        <v>3</v>
      </c>
      <c r="B4" s="6" t="inlineStr">
        <is>
          <t>Cardio Zone</t>
        </is>
      </c>
      <c r="C4" s="6" t="inlineStr">
        <is>
          <t>Upright Exercise Bike</t>
        </is>
      </c>
      <c r="D4" s="7" t="n">
        <v>3</v>
      </c>
      <c r="E4" s="8" t="n">
        <v>1.2</v>
      </c>
      <c r="F4" s="8" t="n">
        <v>0.6</v>
      </c>
      <c r="G4" s="9">
        <f>E4*F4</f>
        <v/>
      </c>
      <c r="H4" s="8" t="n">
        <v>0.4</v>
      </c>
      <c r="I4" s="9">
        <f>E4+2*H4</f>
        <v/>
      </c>
      <c r="J4" s="9">
        <f>F4+2*H4</f>
        <v/>
      </c>
      <c r="K4" s="9">
        <f>I4*J4</f>
        <v/>
      </c>
    </row>
    <row r="5">
      <c r="A5" s="6" t="n">
        <v>4</v>
      </c>
      <c r="B5" s="6" t="inlineStr">
        <is>
          <t>Cardio Zone</t>
        </is>
      </c>
      <c r="C5" s="6" t="inlineStr">
        <is>
          <t>Rowing Machine</t>
        </is>
      </c>
      <c r="D5" s="7" t="n">
        <v>4</v>
      </c>
      <c r="E5" s="8" t="n">
        <v>2.4</v>
      </c>
      <c r="F5" s="8" t="n">
        <v>0.6</v>
      </c>
      <c r="G5" s="9">
        <f>E5*F5</f>
        <v/>
      </c>
      <c r="H5" s="8" t="n">
        <v>0.5</v>
      </c>
      <c r="I5" s="9">
        <f>E5+2*H5</f>
        <v/>
      </c>
      <c r="J5" s="9">
        <f>F5+2*H5</f>
        <v/>
      </c>
      <c r="K5" s="9">
        <f>I5*J5</f>
        <v/>
      </c>
    </row>
    <row r="6">
      <c r="A6" s="6" t="n">
        <v>5</v>
      </c>
      <c r="B6" s="6" t="inlineStr">
        <is>
          <t>Cardio Zone</t>
        </is>
      </c>
      <c r="C6" s="6" t="inlineStr">
        <is>
          <t>Stair Climber</t>
        </is>
      </c>
      <c r="D6" s="7" t="n">
        <v>5</v>
      </c>
      <c r="E6" s="8" t="n">
        <v>1.5</v>
      </c>
      <c r="F6" s="8" t="n">
        <v>0.9</v>
      </c>
      <c r="G6" s="9">
        <f>E6*F6</f>
        <v/>
      </c>
      <c r="H6" s="8" t="n">
        <v>0.5</v>
      </c>
      <c r="I6" s="9">
        <f>E6+2*H6</f>
        <v/>
      </c>
      <c r="J6" s="9">
        <f>F6+2*H6</f>
        <v/>
      </c>
      <c r="K6" s="9">
        <f>I6*J6</f>
        <v/>
      </c>
    </row>
    <row r="7">
      <c r="A7" s="6" t="n">
        <v>6</v>
      </c>
      <c r="B7" s="6" t="inlineStr">
        <is>
          <t>Free Weight Zone</t>
        </is>
      </c>
      <c r="C7" s="6" t="inlineStr">
        <is>
          <t>Power Rack</t>
        </is>
      </c>
      <c r="D7" s="7" t="n">
        <v>1</v>
      </c>
      <c r="E7" s="8" t="n">
        <v>1.5</v>
      </c>
      <c r="F7" s="8" t="n">
        <v>1.5</v>
      </c>
      <c r="G7" s="9">
        <f>E7*F7</f>
        <v/>
      </c>
      <c r="H7" s="8" t="n">
        <v>1</v>
      </c>
      <c r="I7" s="9">
        <f>E7+2*H7</f>
        <v/>
      </c>
      <c r="J7" s="9">
        <f>F7+2*H7</f>
        <v/>
      </c>
      <c r="K7" s="9">
        <f>I7*J7</f>
        <v/>
      </c>
    </row>
    <row r="8">
      <c r="A8" s="6" t="n">
        <v>7</v>
      </c>
      <c r="B8" s="6" t="inlineStr">
        <is>
          <t>Free Weight Zone</t>
        </is>
      </c>
      <c r="C8" s="6" t="inlineStr">
        <is>
          <t>Adjustable Bench</t>
        </is>
      </c>
      <c r="D8" s="7" t="n">
        <v>2</v>
      </c>
      <c r="E8" s="8" t="n">
        <v>1.3</v>
      </c>
      <c r="F8" s="8" t="n">
        <v>0.6</v>
      </c>
      <c r="G8" s="9">
        <f>E8*F8</f>
        <v/>
      </c>
      <c r="H8" s="8" t="n">
        <v>0.6</v>
      </c>
      <c r="I8" s="9">
        <f>E8+2*H8</f>
        <v/>
      </c>
      <c r="J8" s="9">
        <f>F8+2*H8</f>
        <v/>
      </c>
      <c r="K8" s="9">
        <f>I8*J8</f>
        <v/>
      </c>
    </row>
    <row r="9">
      <c r="A9" s="6" t="n">
        <v>8</v>
      </c>
      <c r="B9" s="6" t="inlineStr">
        <is>
          <t>Free Weight Zone</t>
        </is>
      </c>
      <c r="C9" s="6" t="inlineStr">
        <is>
          <t>Dumbbell Rack (set)</t>
        </is>
      </c>
      <c r="D9" s="7" t="n">
        <v>3</v>
      </c>
      <c r="E9" s="8" t="n">
        <v>2</v>
      </c>
      <c r="F9" s="8" t="n">
        <v>0.6</v>
      </c>
      <c r="G9" s="9">
        <f>E9*F9</f>
        <v/>
      </c>
      <c r="H9" s="8" t="n">
        <v>0.8</v>
      </c>
      <c r="I9" s="9">
        <f>E9+2*H9</f>
        <v/>
      </c>
      <c r="J9" s="9">
        <f>F9+2*H9</f>
        <v/>
      </c>
      <c r="K9" s="9">
        <f>I9*J9</f>
        <v/>
      </c>
    </row>
    <row r="10">
      <c r="A10" s="6" t="n">
        <v>9</v>
      </c>
      <c r="B10" s="6" t="inlineStr">
        <is>
          <t>Free Weight Zone</t>
        </is>
      </c>
      <c r="C10" s="6" t="inlineStr">
        <is>
          <t>Olympic Lifting Platform</t>
        </is>
      </c>
      <c r="D10" s="7" t="n">
        <v>4</v>
      </c>
      <c r="E10" s="8" t="n">
        <v>2.4</v>
      </c>
      <c r="F10" s="8" t="n">
        <v>1.2</v>
      </c>
      <c r="G10" s="9">
        <f>E10*F10</f>
        <v/>
      </c>
      <c r="H10" s="8" t="n">
        <v>1</v>
      </c>
      <c r="I10" s="9">
        <f>E10+2*H10</f>
        <v/>
      </c>
      <c r="J10" s="9">
        <f>F10+2*H10</f>
        <v/>
      </c>
      <c r="K10" s="9">
        <f>I10*J10</f>
        <v/>
      </c>
    </row>
    <row r="11">
      <c r="A11" s="6" t="n">
        <v>10</v>
      </c>
      <c r="B11" s="6" t="inlineStr">
        <is>
          <t>Free Weight Zone</t>
        </is>
      </c>
      <c r="C11" s="6" t="inlineStr">
        <is>
          <t>Smith Machine</t>
        </is>
      </c>
      <c r="D11" s="7" t="n">
        <v>5</v>
      </c>
      <c r="E11" s="8" t="n">
        <v>1.8</v>
      </c>
      <c r="F11" s="8" t="n">
        <v>1.3</v>
      </c>
      <c r="G11" s="9">
        <f>E11*F11</f>
        <v/>
      </c>
      <c r="H11" s="8" t="n">
        <v>0.8</v>
      </c>
      <c r="I11" s="9">
        <f>E11+2*H11</f>
        <v/>
      </c>
      <c r="J11" s="9">
        <f>F11+2*H11</f>
        <v/>
      </c>
      <c r="K11" s="9">
        <f>I11*J11</f>
        <v/>
      </c>
    </row>
    <row r="12">
      <c r="A12" s="6" t="n">
        <v>11</v>
      </c>
      <c r="B12" s="6" t="inlineStr">
        <is>
          <t>Machine Zone</t>
        </is>
      </c>
      <c r="C12" s="6" t="inlineStr">
        <is>
          <t>Cable Crossover Station</t>
        </is>
      </c>
      <c r="D12" s="7" t="n">
        <v>1</v>
      </c>
      <c r="E12" s="8" t="n">
        <v>2.5</v>
      </c>
      <c r="F12" s="8" t="n">
        <v>1.5</v>
      </c>
      <c r="G12" s="9">
        <f>E12*F12</f>
        <v/>
      </c>
      <c r="H12" s="8" t="n">
        <v>1</v>
      </c>
      <c r="I12" s="9">
        <f>E12+2*H12</f>
        <v/>
      </c>
      <c r="J12" s="9">
        <f>F12+2*H12</f>
        <v/>
      </c>
      <c r="K12" s="9">
        <f>I12*J12</f>
        <v/>
      </c>
    </row>
    <row r="13">
      <c r="A13" s="6" t="n">
        <v>12</v>
      </c>
      <c r="B13" s="6" t="inlineStr">
        <is>
          <t>Machine Zone</t>
        </is>
      </c>
      <c r="C13" s="6" t="inlineStr">
        <is>
          <t>Leg Press Machine</t>
        </is>
      </c>
      <c r="D13" s="7" t="n">
        <v>2</v>
      </c>
      <c r="E13" s="8" t="n">
        <v>2.2</v>
      </c>
      <c r="F13" s="8" t="n">
        <v>1.5</v>
      </c>
      <c r="G13" s="9">
        <f>E13*F13</f>
        <v/>
      </c>
      <c r="H13" s="8" t="n">
        <v>0.8</v>
      </c>
      <c r="I13" s="9">
        <f>E13+2*H13</f>
        <v/>
      </c>
      <c r="J13" s="9">
        <f>F13+2*H13</f>
        <v/>
      </c>
      <c r="K13" s="9">
        <f>I13*J13</f>
        <v/>
      </c>
    </row>
    <row r="14">
      <c r="A14" s="6" t="n">
        <v>13</v>
      </c>
      <c r="B14" s="6" t="inlineStr">
        <is>
          <t>Machine Zone</t>
        </is>
      </c>
      <c r="C14" s="6" t="inlineStr">
        <is>
          <t>Lat Pulldown Machine</t>
        </is>
      </c>
      <c r="D14" s="7" t="n">
        <v>3</v>
      </c>
      <c r="E14" s="8" t="n">
        <v>1.5</v>
      </c>
      <c r="F14" s="8" t="n">
        <v>1.2</v>
      </c>
      <c r="G14" s="9">
        <f>E14*F14</f>
        <v/>
      </c>
      <c r="H14" s="8" t="n">
        <v>0.6</v>
      </c>
      <c r="I14" s="9">
        <f>E14+2*H14</f>
        <v/>
      </c>
      <c r="J14" s="9">
        <f>F14+2*H14</f>
        <v/>
      </c>
      <c r="K14" s="9">
        <f>I14*J14</f>
        <v/>
      </c>
    </row>
    <row r="15">
      <c r="A15" s="6" t="n">
        <v>14</v>
      </c>
      <c r="B15" s="6" t="inlineStr">
        <is>
          <t>Machine Zone</t>
        </is>
      </c>
      <c r="C15" s="6" t="inlineStr">
        <is>
          <t>Chest Press Machine</t>
        </is>
      </c>
      <c r="D15" s="7" t="n">
        <v>4</v>
      </c>
      <c r="E15" s="8" t="n">
        <v>1.5</v>
      </c>
      <c r="F15" s="8" t="n">
        <v>1.3</v>
      </c>
      <c r="G15" s="9">
        <f>E15*F15</f>
        <v/>
      </c>
      <c r="H15" s="8" t="n">
        <v>0.6</v>
      </c>
      <c r="I15" s="9">
        <f>E15+2*H15</f>
        <v/>
      </c>
      <c r="J15" s="9">
        <f>F15+2*H15</f>
        <v/>
      </c>
      <c r="K15" s="9">
        <f>I15*J15</f>
        <v/>
      </c>
    </row>
    <row r="16">
      <c r="A16" s="6" t="n">
        <v>15</v>
      </c>
      <c r="B16" s="6" t="inlineStr">
        <is>
          <t>Machine Zone</t>
        </is>
      </c>
      <c r="C16" s="6" t="inlineStr">
        <is>
          <t>Leg Extension/Curl Machine</t>
        </is>
      </c>
      <c r="D16" s="7" t="n">
        <v>5</v>
      </c>
      <c r="E16" s="8" t="n">
        <v>1.6</v>
      </c>
      <c r="F16" s="8" t="n">
        <v>1.2</v>
      </c>
      <c r="G16" s="9">
        <f>E16*F16</f>
        <v/>
      </c>
      <c r="H16" s="8" t="n">
        <v>0.6</v>
      </c>
      <c r="I16" s="9">
        <f>E16+2*H16</f>
        <v/>
      </c>
      <c r="J16" s="9">
        <f>F16+2*H16</f>
        <v/>
      </c>
      <c r="K16" s="9">
        <f>I16*J16</f>
        <v/>
      </c>
    </row>
    <row r="17">
      <c r="A17" s="6" t="n">
        <v>16</v>
      </c>
      <c r="B17" s="6" t="inlineStr">
        <is>
          <t>Functional Zone</t>
        </is>
      </c>
      <c r="C17" s="6" t="inlineStr">
        <is>
          <t>Turf Sprint Lane</t>
        </is>
      </c>
      <c r="D17" s="7" t="n">
        <v>1</v>
      </c>
      <c r="E17" s="8" t="n">
        <v>6</v>
      </c>
      <c r="F17" s="8" t="n">
        <v>1.5</v>
      </c>
      <c r="G17" s="9">
        <f>E17*F17</f>
        <v/>
      </c>
      <c r="H17" s="8" t="n">
        <v>0.5</v>
      </c>
      <c r="I17" s="9">
        <f>E17+2*H17</f>
        <v/>
      </c>
      <c r="J17" s="9">
        <f>F17+2*H17</f>
        <v/>
      </c>
      <c r="K17" s="9">
        <f>I17*J17</f>
        <v/>
      </c>
    </row>
    <row r="18">
      <c r="A18" s="6" t="n">
        <v>17</v>
      </c>
      <c r="B18" s="6" t="inlineStr">
        <is>
          <t>Functional Zone</t>
        </is>
      </c>
      <c r="C18" s="6" t="inlineStr">
        <is>
          <t>Battle Ropes Station</t>
        </is>
      </c>
      <c r="D18" s="7" t="n">
        <v>2</v>
      </c>
      <c r="E18" s="8" t="n">
        <v>2</v>
      </c>
      <c r="F18" s="8" t="n">
        <v>1</v>
      </c>
      <c r="G18" s="9">
        <f>E18*F18</f>
        <v/>
      </c>
      <c r="H18" s="8" t="n">
        <v>0.5</v>
      </c>
      <c r="I18" s="9">
        <f>E18+2*H18</f>
        <v/>
      </c>
      <c r="J18" s="9">
        <f>F18+2*H18</f>
        <v/>
      </c>
      <c r="K18" s="9">
        <f>I18*J18</f>
        <v/>
      </c>
    </row>
    <row r="19">
      <c r="A19" s="6" t="n">
        <v>18</v>
      </c>
      <c r="B19" s="6" t="inlineStr">
        <is>
          <t>Functional Zone</t>
        </is>
      </c>
      <c r="C19" s="6" t="inlineStr">
        <is>
          <t>Plyo Box Set</t>
        </is>
      </c>
      <c r="D19" s="7" t="n">
        <v>3</v>
      </c>
      <c r="E19" s="8" t="n">
        <v>1</v>
      </c>
      <c r="F19" s="8" t="n">
        <v>1</v>
      </c>
      <c r="G19" s="9">
        <f>E19*F19</f>
        <v/>
      </c>
      <c r="H19" s="8" t="n">
        <v>0.5</v>
      </c>
      <c r="I19" s="9">
        <f>E19+2*H19</f>
        <v/>
      </c>
      <c r="J19" s="9">
        <f>F19+2*H19</f>
        <v/>
      </c>
      <c r="K19" s="9">
        <f>I19*J19</f>
        <v/>
      </c>
    </row>
    <row r="20">
      <c r="A20" s="6" t="n">
        <v>19</v>
      </c>
      <c r="B20" s="6" t="inlineStr">
        <is>
          <t>Functional Zone</t>
        </is>
      </c>
      <c r="C20" s="6" t="inlineStr">
        <is>
          <t>Suspension Trainer Station</t>
        </is>
      </c>
      <c r="D20" s="7" t="n">
        <v>4</v>
      </c>
      <c r="E20" s="8" t="n">
        <v>1.5</v>
      </c>
      <c r="F20" s="8" t="n">
        <v>1.5</v>
      </c>
      <c r="G20" s="9">
        <f>E20*F20</f>
        <v/>
      </c>
      <c r="H20" s="8" t="n">
        <v>0.5</v>
      </c>
      <c r="I20" s="9">
        <f>E20+2*H20</f>
        <v/>
      </c>
      <c r="J20" s="9">
        <f>F20+2*H20</f>
        <v/>
      </c>
      <c r="K20" s="9">
        <f>I20*J20</f>
        <v/>
      </c>
    </row>
    <row r="21">
      <c r="A21" s="6" t="n">
        <v>20</v>
      </c>
      <c r="B21" s="6" t="inlineStr">
        <is>
          <t>Functional Zone</t>
        </is>
      </c>
      <c r="C21" s="6" t="inlineStr">
        <is>
          <t>Kettlebell Rack</t>
        </is>
      </c>
      <c r="D21" s="7" t="n">
        <v>5</v>
      </c>
      <c r="E21" s="8" t="n">
        <v>1.2</v>
      </c>
      <c r="F21" s="8" t="n">
        <v>0.6</v>
      </c>
      <c r="G21" s="9">
        <f>E21*F21</f>
        <v/>
      </c>
      <c r="H21" s="8" t="n">
        <v>0.5</v>
      </c>
      <c r="I21" s="9">
        <f>E21+2*H21</f>
        <v/>
      </c>
      <c r="J21" s="9">
        <f>F21+2*H21</f>
        <v/>
      </c>
      <c r="K21" s="9">
        <f>I21*J21</f>
        <v/>
      </c>
    </row>
    <row r="22">
      <c r="A22" s="6" t="n">
        <v>21</v>
      </c>
      <c r="B22" s="6" t="inlineStr">
        <is>
          <t>Recovery Zone</t>
        </is>
      </c>
      <c r="C22" s="6" t="inlineStr">
        <is>
          <t>Stretching Mat Area</t>
        </is>
      </c>
      <c r="D22" s="7" t="n">
        <v>1</v>
      </c>
      <c r="E22" s="8" t="n">
        <v>2</v>
      </c>
      <c r="F22" s="8" t="n">
        <v>2</v>
      </c>
      <c r="G22" s="9">
        <f>E22*F22</f>
        <v/>
      </c>
      <c r="H22" s="8" t="n">
        <v>0.3</v>
      </c>
      <c r="I22" s="9">
        <f>E22+2*H22</f>
        <v/>
      </c>
      <c r="J22" s="9">
        <f>F22+2*H22</f>
        <v/>
      </c>
      <c r="K22" s="9">
        <f>I22*J22</f>
        <v/>
      </c>
    </row>
    <row r="23">
      <c r="A23" s="6" t="n">
        <v>22</v>
      </c>
      <c r="B23" s="6" t="inlineStr">
        <is>
          <t>Recovery Zone</t>
        </is>
      </c>
      <c r="C23" s="6" t="inlineStr">
        <is>
          <t>Foam Roller Station</t>
        </is>
      </c>
      <c r="D23" s="7" t="n">
        <v>2</v>
      </c>
      <c r="E23" s="8" t="n">
        <v>1</v>
      </c>
      <c r="F23" s="8" t="n">
        <v>1</v>
      </c>
      <c r="G23" s="9">
        <f>E23*F23</f>
        <v/>
      </c>
      <c r="H23" s="8" t="n">
        <v>0.3</v>
      </c>
      <c r="I23" s="9">
        <f>E23+2*H23</f>
        <v/>
      </c>
      <c r="J23" s="9">
        <f>F23+2*H23</f>
        <v/>
      </c>
      <c r="K23" s="9">
        <f>I23*J23</f>
        <v/>
      </c>
    </row>
    <row r="24">
      <c r="A24" s="6" t="n">
        <v>23</v>
      </c>
      <c r="B24" s="6" t="inlineStr">
        <is>
          <t>Recovery Zone</t>
        </is>
      </c>
      <c r="C24" s="6" t="inlineStr">
        <is>
          <t>Massage Chair</t>
        </is>
      </c>
      <c r="D24" s="7" t="n">
        <v>3</v>
      </c>
      <c r="E24" s="8" t="n">
        <v>1.2</v>
      </c>
      <c r="F24" s="8" t="n">
        <v>1</v>
      </c>
      <c r="G24" s="9">
        <f>E24*F24</f>
        <v/>
      </c>
      <c r="H24" s="8" t="n">
        <v>0.5</v>
      </c>
      <c r="I24" s="9">
        <f>E24+2*H24</f>
        <v/>
      </c>
      <c r="J24" s="9">
        <f>F24+2*H24</f>
        <v/>
      </c>
      <c r="K24" s="9">
        <f>I24*J24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55" customWidth="1" min="3" max="3"/>
  </cols>
  <sheetData>
    <row r="1">
      <c r="A1" s="5" t="inlineStr">
        <is>
          <t>Zone</t>
        </is>
      </c>
      <c r="B1" s="5" t="inlineStr">
        <is>
          <t>% of Room Area</t>
        </is>
      </c>
      <c r="C1" s="5" t="inlineStr">
        <is>
          <t>Description</t>
        </is>
      </c>
    </row>
    <row r="2">
      <c r="A2" s="6" t="inlineStr">
        <is>
          <t>Cardio Zone</t>
        </is>
      </c>
      <c r="B2" s="10" t="n">
        <v>0.3</v>
      </c>
      <c r="C2" s="6" t="inlineStr">
        <is>
          <t>Treadmills, ellipticals, bikes, rowers, stair climbers</t>
        </is>
      </c>
    </row>
    <row r="3">
      <c r="A3" s="6" t="inlineStr">
        <is>
          <t>Free Weight Zone</t>
        </is>
      </c>
      <c r="B3" s="10" t="n">
        <v>0.25</v>
      </c>
      <c r="C3" s="6" t="inlineStr">
        <is>
          <t>Racks, benches, dumbbells, barbells, Smith machine</t>
        </is>
      </c>
    </row>
    <row r="4">
      <c r="A4" s="6" t="inlineStr">
        <is>
          <t>Machine Zone</t>
        </is>
      </c>
      <c r="B4" s="10" t="n">
        <v>0.2</v>
      </c>
      <c r="C4" s="6" t="inlineStr">
        <is>
          <t>Selectorized strength machines, cable stations</t>
        </is>
      </c>
    </row>
    <row r="5">
      <c r="A5" s="6" t="inlineStr">
        <is>
          <t>Functional Zone</t>
        </is>
      </c>
      <c r="B5" s="10" t="n">
        <v>0.15</v>
      </c>
      <c r="C5" s="6" t="inlineStr">
        <is>
          <t>Turf, battle ropes, plyo boxes, suspension trainers</t>
        </is>
      </c>
    </row>
    <row r="6">
      <c r="A6" s="6" t="inlineStr">
        <is>
          <t>Recovery Zone</t>
        </is>
      </c>
      <c r="B6" s="10" t="n">
        <v>0.1</v>
      </c>
      <c r="C6" s="6" t="inlineStr">
        <is>
          <t>Stretching mats, foam rolling, massage chairs</t>
        </is>
      </c>
    </row>
    <row r="8">
      <c r="A8" s="11" t="inlineStr">
        <is>
          <t>Total</t>
        </is>
      </c>
      <c r="B8" s="12">
        <f>SUM(B2:B6)</f>
        <v/>
      </c>
      <c r="C8" s="11">
        <f>IF(B8=1,"OK","CHECK: zones must sum to 100%")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pane xSplit="5" ySplit="6" topLeftCell="F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17" customWidth="1" min="2" max="2"/>
    <col width="26" customWidth="1" min="3" max="3"/>
    <col width="9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13" t="inlineStr">
        <is>
          <t>Recommendation Model — greedy fill by zone priority</t>
        </is>
      </c>
    </row>
    <row r="2">
      <c r="A2" s="2" t="inlineStr">
        <is>
          <t>Change the room areas in row 4 to test different scenarios. Each zone's area budget is filled top-to-bottom in priority order.</t>
        </is>
      </c>
    </row>
    <row r="3">
      <c r="A3" s="11" t="inlineStr">
        <is>
          <t>Room Area (sqm) -&gt;</t>
        </is>
      </c>
      <c r="F3" s="14" t="inlineStr">
        <is>
          <t>Scenario A</t>
        </is>
      </c>
      <c r="J3" s="14" t="inlineStr">
        <is>
          <t>Scenario B</t>
        </is>
      </c>
      <c r="N3" s="14" t="inlineStr">
        <is>
          <t>Scenario C</t>
        </is>
      </c>
    </row>
    <row r="4">
      <c r="F4" s="15" t="n">
        <v>100</v>
      </c>
      <c r="G4" s="16" t="n"/>
      <c r="H4" s="16" t="n"/>
      <c r="I4" s="17" t="n"/>
      <c r="J4" s="15" t="n">
        <v>200</v>
      </c>
      <c r="K4" s="16" t="n"/>
      <c r="L4" s="16" t="n"/>
      <c r="M4" s="17" t="n"/>
      <c r="N4" s="15" t="n">
        <v>500</v>
      </c>
      <c r="O4" s="16" t="n"/>
      <c r="P4" s="16" t="n"/>
      <c r="Q4" s="17" t="n"/>
    </row>
    <row r="6">
      <c r="A6" s="5" t="inlineStr">
        <is>
          <t>Order</t>
        </is>
      </c>
      <c r="B6" s="5" t="inlineStr">
        <is>
          <t>Zone</t>
        </is>
      </c>
      <c r="C6" s="5" t="inlineStr">
        <is>
          <t>Equipment</t>
        </is>
      </c>
      <c r="D6" s="5" t="inlineStr">
        <is>
          <t>Priority</t>
        </is>
      </c>
      <c r="E6" s="5" t="inlineStr">
        <is>
          <t>Effective Area (sqm)</t>
        </is>
      </c>
      <c r="F6" s="5" t="inlineStr">
        <is>
          <t>Zone Budget (sqm)</t>
        </is>
      </c>
      <c r="G6" s="5" t="inlineStr">
        <is>
          <t>Cum. Before (sqm)</t>
        </is>
      </c>
      <c r="H6" s="5" t="inlineStr">
        <is>
          <t>Recommended Qty</t>
        </is>
      </c>
      <c r="I6" s="5" t="inlineStr">
        <is>
          <t>Area Used (sqm)</t>
        </is>
      </c>
      <c r="J6" s="5" t="inlineStr">
        <is>
          <t>Zone Budget (sqm)</t>
        </is>
      </c>
      <c r="K6" s="5" t="inlineStr">
        <is>
          <t>Cum. Before (sqm)</t>
        </is>
      </c>
      <c r="L6" s="5" t="inlineStr">
        <is>
          <t>Recommended Qty</t>
        </is>
      </c>
      <c r="M6" s="5" t="inlineStr">
        <is>
          <t>Area Used (sqm)</t>
        </is>
      </c>
      <c r="N6" s="5" t="inlineStr">
        <is>
          <t>Zone Budget (sqm)</t>
        </is>
      </c>
      <c r="O6" s="5" t="inlineStr">
        <is>
          <t>Cum. Before (sqm)</t>
        </is>
      </c>
      <c r="P6" s="5" t="inlineStr">
        <is>
          <t>Recommended Qty</t>
        </is>
      </c>
      <c r="Q6" s="5" t="inlineStr">
        <is>
          <t>Area Used (sqm)</t>
        </is>
      </c>
    </row>
    <row r="7">
      <c r="A7" s="6" t="n">
        <v>1</v>
      </c>
      <c r="B7" s="18" t="inlineStr">
        <is>
          <t>Cardio Zone</t>
        </is>
      </c>
      <c r="C7" s="6" t="inlineStr">
        <is>
          <t>Treadmill</t>
        </is>
      </c>
      <c r="D7" s="6">
        <f>VLOOKUP(C7,Equipment!$C$2:$K$24,2,FALSE)</f>
        <v/>
      </c>
      <c r="E7" s="9">
        <f>VLOOKUP(C7,Equipment!$C$2:$K$24,9,FALSE)</f>
        <v/>
      </c>
      <c r="F7" s="9">
        <f>F$4*VLOOKUP($B7,'Space Types'!$A$2:$B$6,2,FALSE)</f>
        <v/>
      </c>
      <c r="G7" s="9">
        <f>0</f>
        <v/>
      </c>
      <c r="H7" s="6">
        <f>MAX(0,FLOOR((F7-G7)/$E7,1))</f>
        <v/>
      </c>
      <c r="I7" s="9">
        <f>H7*$E7</f>
        <v/>
      </c>
      <c r="J7" s="9">
        <f>J$4*VLOOKUP($B7,'Space Types'!$A$2:$B$6,2,FALSE)</f>
        <v/>
      </c>
      <c r="K7" s="9">
        <f>0</f>
        <v/>
      </c>
      <c r="L7" s="6">
        <f>MAX(0,FLOOR((J7-K7)/$E7,1))</f>
        <v/>
      </c>
      <c r="M7" s="9">
        <f>L7*$E7</f>
        <v/>
      </c>
      <c r="N7" s="9">
        <f>N$4*VLOOKUP($B7,'Space Types'!$A$2:$B$6,2,FALSE)</f>
        <v/>
      </c>
      <c r="O7" s="9">
        <f>0</f>
        <v/>
      </c>
      <c r="P7" s="6">
        <f>MAX(0,FLOOR((N7-O7)/$E7,1))</f>
        <v/>
      </c>
      <c r="Q7" s="9">
        <f>P7*$E7</f>
        <v/>
      </c>
    </row>
    <row r="8">
      <c r="A8" s="6" t="n">
        <v>2</v>
      </c>
      <c r="B8" s="18" t="inlineStr">
        <is>
          <t>Cardio Zone</t>
        </is>
      </c>
      <c r="C8" s="6" t="inlineStr">
        <is>
          <t>Elliptical</t>
        </is>
      </c>
      <c r="D8" s="6">
        <f>VLOOKUP(C8,Equipment!$C$2:$K$24,2,FALSE)</f>
        <v/>
      </c>
      <c r="E8" s="9">
        <f>VLOOKUP(C8,Equipment!$C$2:$K$24,9,FALSE)</f>
        <v/>
      </c>
      <c r="F8" s="9">
        <f>F$4*VLOOKUP($B8,'Space Types'!$A$2:$B$6,2,FALSE)</f>
        <v/>
      </c>
      <c r="G8" s="9">
        <f>SUMIFS($I$7:$I7,$B$7:$B7,$B8,$A$7:$A7,"&lt;"&amp;$A8)</f>
        <v/>
      </c>
      <c r="H8" s="6">
        <f>MAX(0,FLOOR((F8-G8)/$E8,1))</f>
        <v/>
      </c>
      <c r="I8" s="9">
        <f>H8*$E8</f>
        <v/>
      </c>
      <c r="J8" s="9">
        <f>J$4*VLOOKUP($B8,'Space Types'!$A$2:$B$6,2,FALSE)</f>
        <v/>
      </c>
      <c r="K8" s="9">
        <f>SUMIFS($M$7:$M7,$B$7:$B7,$B8,$A$7:$A7,"&lt;"&amp;$A8)</f>
        <v/>
      </c>
      <c r="L8" s="6">
        <f>MAX(0,FLOOR((J8-K8)/$E8,1))</f>
        <v/>
      </c>
      <c r="M8" s="9">
        <f>L8*$E8</f>
        <v/>
      </c>
      <c r="N8" s="9">
        <f>N$4*VLOOKUP($B8,'Space Types'!$A$2:$B$6,2,FALSE)</f>
        <v/>
      </c>
      <c r="O8" s="9">
        <f>SUMIFS($Q$7:$Q7,$B$7:$B7,$B8,$A$7:$A7,"&lt;"&amp;$A8)</f>
        <v/>
      </c>
      <c r="P8" s="6">
        <f>MAX(0,FLOOR((N8-O8)/$E8,1))</f>
        <v/>
      </c>
      <c r="Q8" s="9">
        <f>P8*$E8</f>
        <v/>
      </c>
    </row>
    <row r="9">
      <c r="A9" s="6" t="n">
        <v>3</v>
      </c>
      <c r="B9" s="18" t="inlineStr">
        <is>
          <t>Cardio Zone</t>
        </is>
      </c>
      <c r="C9" s="6" t="inlineStr">
        <is>
          <t>Upright Exercise Bike</t>
        </is>
      </c>
      <c r="D9" s="6">
        <f>VLOOKUP(C9,Equipment!$C$2:$K$24,2,FALSE)</f>
        <v/>
      </c>
      <c r="E9" s="9">
        <f>VLOOKUP(C9,Equipment!$C$2:$K$24,9,FALSE)</f>
        <v/>
      </c>
      <c r="F9" s="9">
        <f>F$4*VLOOKUP($B9,'Space Types'!$A$2:$B$6,2,FALSE)</f>
        <v/>
      </c>
      <c r="G9" s="9">
        <f>SUMIFS($I$7:$I8,$B$7:$B8,$B9,$A$7:$A8,"&lt;"&amp;$A9)</f>
        <v/>
      </c>
      <c r="H9" s="6">
        <f>MAX(0,FLOOR((F9-G9)/$E9,1))</f>
        <v/>
      </c>
      <c r="I9" s="9">
        <f>H9*$E9</f>
        <v/>
      </c>
      <c r="J9" s="9">
        <f>J$4*VLOOKUP($B9,'Space Types'!$A$2:$B$6,2,FALSE)</f>
        <v/>
      </c>
      <c r="K9" s="9">
        <f>SUMIFS($M$7:$M8,$B$7:$B8,$B9,$A$7:$A8,"&lt;"&amp;$A9)</f>
        <v/>
      </c>
      <c r="L9" s="6">
        <f>MAX(0,FLOOR((J9-K9)/$E9,1))</f>
        <v/>
      </c>
      <c r="M9" s="9">
        <f>L9*$E9</f>
        <v/>
      </c>
      <c r="N9" s="9">
        <f>N$4*VLOOKUP($B9,'Space Types'!$A$2:$B$6,2,FALSE)</f>
        <v/>
      </c>
      <c r="O9" s="9">
        <f>SUMIFS($Q$7:$Q8,$B$7:$B8,$B9,$A$7:$A8,"&lt;"&amp;$A9)</f>
        <v/>
      </c>
      <c r="P9" s="6">
        <f>MAX(0,FLOOR((N9-O9)/$E9,1))</f>
        <v/>
      </c>
      <c r="Q9" s="9">
        <f>P9*$E9</f>
        <v/>
      </c>
    </row>
    <row r="10">
      <c r="A10" s="6" t="n">
        <v>4</v>
      </c>
      <c r="B10" s="18" t="inlineStr">
        <is>
          <t>Cardio Zone</t>
        </is>
      </c>
      <c r="C10" s="6" t="inlineStr">
        <is>
          <t>Rowing Machine</t>
        </is>
      </c>
      <c r="D10" s="6">
        <f>VLOOKUP(C10,Equipment!$C$2:$K$24,2,FALSE)</f>
        <v/>
      </c>
      <c r="E10" s="9">
        <f>VLOOKUP(C10,Equipment!$C$2:$K$24,9,FALSE)</f>
        <v/>
      </c>
      <c r="F10" s="9">
        <f>F$4*VLOOKUP($B10,'Space Types'!$A$2:$B$6,2,FALSE)</f>
        <v/>
      </c>
      <c r="G10" s="9">
        <f>SUMIFS($I$7:$I9,$B$7:$B9,$B10,$A$7:$A9,"&lt;"&amp;$A10)</f>
        <v/>
      </c>
      <c r="H10" s="6">
        <f>MAX(0,FLOOR((F10-G10)/$E10,1))</f>
        <v/>
      </c>
      <c r="I10" s="9">
        <f>H10*$E10</f>
        <v/>
      </c>
      <c r="J10" s="9">
        <f>J$4*VLOOKUP($B10,'Space Types'!$A$2:$B$6,2,FALSE)</f>
        <v/>
      </c>
      <c r="K10" s="9">
        <f>SUMIFS($M$7:$M9,$B$7:$B9,$B10,$A$7:$A9,"&lt;"&amp;$A10)</f>
        <v/>
      </c>
      <c r="L10" s="6">
        <f>MAX(0,FLOOR((J10-K10)/$E10,1))</f>
        <v/>
      </c>
      <c r="M10" s="9">
        <f>L10*$E10</f>
        <v/>
      </c>
      <c r="N10" s="9">
        <f>N$4*VLOOKUP($B10,'Space Types'!$A$2:$B$6,2,FALSE)</f>
        <v/>
      </c>
      <c r="O10" s="9">
        <f>SUMIFS($Q$7:$Q9,$B$7:$B9,$B10,$A$7:$A9,"&lt;"&amp;$A10)</f>
        <v/>
      </c>
      <c r="P10" s="6">
        <f>MAX(0,FLOOR((N10-O10)/$E10,1))</f>
        <v/>
      </c>
      <c r="Q10" s="9">
        <f>P10*$E10</f>
        <v/>
      </c>
    </row>
    <row r="11">
      <c r="A11" s="6" t="n">
        <v>5</v>
      </c>
      <c r="B11" s="18" t="inlineStr">
        <is>
          <t>Cardio Zone</t>
        </is>
      </c>
      <c r="C11" s="6" t="inlineStr">
        <is>
          <t>Stair Climber</t>
        </is>
      </c>
      <c r="D11" s="6">
        <f>VLOOKUP(C11,Equipment!$C$2:$K$24,2,FALSE)</f>
        <v/>
      </c>
      <c r="E11" s="9">
        <f>VLOOKUP(C11,Equipment!$C$2:$K$24,9,FALSE)</f>
        <v/>
      </c>
      <c r="F11" s="9">
        <f>F$4*VLOOKUP($B11,'Space Types'!$A$2:$B$6,2,FALSE)</f>
        <v/>
      </c>
      <c r="G11" s="9">
        <f>SUMIFS($I$7:$I10,$B$7:$B10,$B11,$A$7:$A10,"&lt;"&amp;$A11)</f>
        <v/>
      </c>
      <c r="H11" s="6">
        <f>MAX(0,FLOOR((F11-G11)/$E11,1))</f>
        <v/>
      </c>
      <c r="I11" s="9">
        <f>H11*$E11</f>
        <v/>
      </c>
      <c r="J11" s="9">
        <f>J$4*VLOOKUP($B11,'Space Types'!$A$2:$B$6,2,FALSE)</f>
        <v/>
      </c>
      <c r="K11" s="9">
        <f>SUMIFS($M$7:$M10,$B$7:$B10,$B11,$A$7:$A10,"&lt;"&amp;$A11)</f>
        <v/>
      </c>
      <c r="L11" s="6">
        <f>MAX(0,FLOOR((J11-K11)/$E11,1))</f>
        <v/>
      </c>
      <c r="M11" s="9">
        <f>L11*$E11</f>
        <v/>
      </c>
      <c r="N11" s="9">
        <f>N$4*VLOOKUP($B11,'Space Types'!$A$2:$B$6,2,FALSE)</f>
        <v/>
      </c>
      <c r="O11" s="9">
        <f>SUMIFS($Q$7:$Q10,$B$7:$B10,$B11,$A$7:$A10,"&lt;"&amp;$A11)</f>
        <v/>
      </c>
      <c r="P11" s="6">
        <f>MAX(0,FLOOR((N11-O11)/$E11,1))</f>
        <v/>
      </c>
      <c r="Q11" s="9">
        <f>P11*$E11</f>
        <v/>
      </c>
    </row>
    <row r="12">
      <c r="A12" s="6" t="n">
        <v>6</v>
      </c>
      <c r="B12" s="18" t="inlineStr">
        <is>
          <t>Free Weight Zone</t>
        </is>
      </c>
      <c r="C12" s="6" t="inlineStr">
        <is>
          <t>Power Rack</t>
        </is>
      </c>
      <c r="D12" s="6">
        <f>VLOOKUP(C12,Equipment!$C$2:$K$24,2,FALSE)</f>
        <v/>
      </c>
      <c r="E12" s="9">
        <f>VLOOKUP(C12,Equipment!$C$2:$K$24,9,FALSE)</f>
        <v/>
      </c>
      <c r="F12" s="9">
        <f>F$4*VLOOKUP($B12,'Space Types'!$A$2:$B$6,2,FALSE)</f>
        <v/>
      </c>
      <c r="G12" s="9">
        <f>SUMIFS($I$7:$I11,$B$7:$B11,$B12,$A$7:$A11,"&lt;"&amp;$A12)</f>
        <v/>
      </c>
      <c r="H12" s="6">
        <f>MAX(0,FLOOR((F12-G12)/$E12,1))</f>
        <v/>
      </c>
      <c r="I12" s="9">
        <f>H12*$E12</f>
        <v/>
      </c>
      <c r="J12" s="9">
        <f>J$4*VLOOKUP($B12,'Space Types'!$A$2:$B$6,2,FALSE)</f>
        <v/>
      </c>
      <c r="K12" s="9">
        <f>SUMIFS($M$7:$M11,$B$7:$B11,$B12,$A$7:$A11,"&lt;"&amp;$A12)</f>
        <v/>
      </c>
      <c r="L12" s="6">
        <f>MAX(0,FLOOR((J12-K12)/$E12,1))</f>
        <v/>
      </c>
      <c r="M12" s="9">
        <f>L12*$E12</f>
        <v/>
      </c>
      <c r="N12" s="9">
        <f>N$4*VLOOKUP($B12,'Space Types'!$A$2:$B$6,2,FALSE)</f>
        <v/>
      </c>
      <c r="O12" s="9">
        <f>SUMIFS($Q$7:$Q11,$B$7:$B11,$B12,$A$7:$A11,"&lt;"&amp;$A12)</f>
        <v/>
      </c>
      <c r="P12" s="6">
        <f>MAX(0,FLOOR((N12-O12)/$E12,1))</f>
        <v/>
      </c>
      <c r="Q12" s="9">
        <f>P12*$E12</f>
        <v/>
      </c>
    </row>
    <row r="13">
      <c r="A13" s="6" t="n">
        <v>7</v>
      </c>
      <c r="B13" s="18" t="inlineStr">
        <is>
          <t>Free Weight Zone</t>
        </is>
      </c>
      <c r="C13" s="6" t="inlineStr">
        <is>
          <t>Adjustable Bench</t>
        </is>
      </c>
      <c r="D13" s="6">
        <f>VLOOKUP(C13,Equipment!$C$2:$K$24,2,FALSE)</f>
        <v/>
      </c>
      <c r="E13" s="9">
        <f>VLOOKUP(C13,Equipment!$C$2:$K$24,9,FALSE)</f>
        <v/>
      </c>
      <c r="F13" s="9">
        <f>F$4*VLOOKUP($B13,'Space Types'!$A$2:$B$6,2,FALSE)</f>
        <v/>
      </c>
      <c r="G13" s="9">
        <f>SUMIFS($I$7:$I12,$B$7:$B12,$B13,$A$7:$A12,"&lt;"&amp;$A13)</f>
        <v/>
      </c>
      <c r="H13" s="6">
        <f>MAX(0,FLOOR((F13-G13)/$E13,1))</f>
        <v/>
      </c>
      <c r="I13" s="9">
        <f>H13*$E13</f>
        <v/>
      </c>
      <c r="J13" s="9">
        <f>J$4*VLOOKUP($B13,'Space Types'!$A$2:$B$6,2,FALSE)</f>
        <v/>
      </c>
      <c r="K13" s="9">
        <f>SUMIFS($M$7:$M12,$B$7:$B12,$B13,$A$7:$A12,"&lt;"&amp;$A13)</f>
        <v/>
      </c>
      <c r="L13" s="6">
        <f>MAX(0,FLOOR((J13-K13)/$E13,1))</f>
        <v/>
      </c>
      <c r="M13" s="9">
        <f>L13*$E13</f>
        <v/>
      </c>
      <c r="N13" s="9">
        <f>N$4*VLOOKUP($B13,'Space Types'!$A$2:$B$6,2,FALSE)</f>
        <v/>
      </c>
      <c r="O13" s="9">
        <f>SUMIFS($Q$7:$Q12,$B$7:$B12,$B13,$A$7:$A12,"&lt;"&amp;$A13)</f>
        <v/>
      </c>
      <c r="P13" s="6">
        <f>MAX(0,FLOOR((N13-O13)/$E13,1))</f>
        <v/>
      </c>
      <c r="Q13" s="9">
        <f>P13*$E13</f>
        <v/>
      </c>
    </row>
    <row r="14">
      <c r="A14" s="6" t="n">
        <v>8</v>
      </c>
      <c r="B14" s="18" t="inlineStr">
        <is>
          <t>Free Weight Zone</t>
        </is>
      </c>
      <c r="C14" s="6" t="inlineStr">
        <is>
          <t>Dumbbell Rack (set)</t>
        </is>
      </c>
      <c r="D14" s="6">
        <f>VLOOKUP(C14,Equipment!$C$2:$K$24,2,FALSE)</f>
        <v/>
      </c>
      <c r="E14" s="9">
        <f>VLOOKUP(C14,Equipment!$C$2:$K$24,9,FALSE)</f>
        <v/>
      </c>
      <c r="F14" s="9">
        <f>F$4*VLOOKUP($B14,'Space Types'!$A$2:$B$6,2,FALSE)</f>
        <v/>
      </c>
      <c r="G14" s="9">
        <f>SUMIFS($I$7:$I13,$B$7:$B13,$B14,$A$7:$A13,"&lt;"&amp;$A14)</f>
        <v/>
      </c>
      <c r="H14" s="6">
        <f>MAX(0,FLOOR((F14-G14)/$E14,1))</f>
        <v/>
      </c>
      <c r="I14" s="9">
        <f>H14*$E14</f>
        <v/>
      </c>
      <c r="J14" s="9">
        <f>J$4*VLOOKUP($B14,'Space Types'!$A$2:$B$6,2,FALSE)</f>
        <v/>
      </c>
      <c r="K14" s="9">
        <f>SUMIFS($M$7:$M13,$B$7:$B13,$B14,$A$7:$A13,"&lt;"&amp;$A14)</f>
        <v/>
      </c>
      <c r="L14" s="6">
        <f>MAX(0,FLOOR((J14-K14)/$E14,1))</f>
        <v/>
      </c>
      <c r="M14" s="9">
        <f>L14*$E14</f>
        <v/>
      </c>
      <c r="N14" s="9">
        <f>N$4*VLOOKUP($B14,'Space Types'!$A$2:$B$6,2,FALSE)</f>
        <v/>
      </c>
      <c r="O14" s="9">
        <f>SUMIFS($Q$7:$Q13,$B$7:$B13,$B14,$A$7:$A13,"&lt;"&amp;$A14)</f>
        <v/>
      </c>
      <c r="P14" s="6">
        <f>MAX(0,FLOOR((N14-O14)/$E14,1))</f>
        <v/>
      </c>
      <c r="Q14" s="9">
        <f>P14*$E14</f>
        <v/>
      </c>
    </row>
    <row r="15">
      <c r="A15" s="6" t="n">
        <v>9</v>
      </c>
      <c r="B15" s="18" t="inlineStr">
        <is>
          <t>Free Weight Zone</t>
        </is>
      </c>
      <c r="C15" s="6" t="inlineStr">
        <is>
          <t>Olympic Lifting Platform</t>
        </is>
      </c>
      <c r="D15" s="6">
        <f>VLOOKUP(C15,Equipment!$C$2:$K$24,2,FALSE)</f>
        <v/>
      </c>
      <c r="E15" s="9">
        <f>VLOOKUP(C15,Equipment!$C$2:$K$24,9,FALSE)</f>
        <v/>
      </c>
      <c r="F15" s="9">
        <f>F$4*VLOOKUP($B15,'Space Types'!$A$2:$B$6,2,FALSE)</f>
        <v/>
      </c>
      <c r="G15" s="9">
        <f>SUMIFS($I$7:$I14,$B$7:$B14,$B15,$A$7:$A14,"&lt;"&amp;$A15)</f>
        <v/>
      </c>
      <c r="H15" s="6">
        <f>MAX(0,FLOOR((F15-G15)/$E15,1))</f>
        <v/>
      </c>
      <c r="I15" s="9">
        <f>H15*$E15</f>
        <v/>
      </c>
      <c r="J15" s="9">
        <f>J$4*VLOOKUP($B15,'Space Types'!$A$2:$B$6,2,FALSE)</f>
        <v/>
      </c>
      <c r="K15" s="9">
        <f>SUMIFS($M$7:$M14,$B$7:$B14,$B15,$A$7:$A14,"&lt;"&amp;$A15)</f>
        <v/>
      </c>
      <c r="L15" s="6">
        <f>MAX(0,FLOOR((J15-K15)/$E15,1))</f>
        <v/>
      </c>
      <c r="M15" s="9">
        <f>L15*$E15</f>
        <v/>
      </c>
      <c r="N15" s="9">
        <f>N$4*VLOOKUP($B15,'Space Types'!$A$2:$B$6,2,FALSE)</f>
        <v/>
      </c>
      <c r="O15" s="9">
        <f>SUMIFS($Q$7:$Q14,$B$7:$B14,$B15,$A$7:$A14,"&lt;"&amp;$A15)</f>
        <v/>
      </c>
      <c r="P15" s="6">
        <f>MAX(0,FLOOR((N15-O15)/$E15,1))</f>
        <v/>
      </c>
      <c r="Q15" s="9">
        <f>P15*$E15</f>
        <v/>
      </c>
    </row>
    <row r="16">
      <c r="A16" s="6" t="n">
        <v>10</v>
      </c>
      <c r="B16" s="18" t="inlineStr">
        <is>
          <t>Free Weight Zone</t>
        </is>
      </c>
      <c r="C16" s="6" t="inlineStr">
        <is>
          <t>Smith Machine</t>
        </is>
      </c>
      <c r="D16" s="6">
        <f>VLOOKUP(C16,Equipment!$C$2:$K$24,2,FALSE)</f>
        <v/>
      </c>
      <c r="E16" s="9">
        <f>VLOOKUP(C16,Equipment!$C$2:$K$24,9,FALSE)</f>
        <v/>
      </c>
      <c r="F16" s="9">
        <f>F$4*VLOOKUP($B16,'Space Types'!$A$2:$B$6,2,FALSE)</f>
        <v/>
      </c>
      <c r="G16" s="9">
        <f>SUMIFS($I$7:$I15,$B$7:$B15,$B16,$A$7:$A15,"&lt;"&amp;$A16)</f>
        <v/>
      </c>
      <c r="H16" s="6">
        <f>MAX(0,FLOOR((F16-G16)/$E16,1))</f>
        <v/>
      </c>
      <c r="I16" s="9">
        <f>H16*$E16</f>
        <v/>
      </c>
      <c r="J16" s="9">
        <f>J$4*VLOOKUP($B16,'Space Types'!$A$2:$B$6,2,FALSE)</f>
        <v/>
      </c>
      <c r="K16" s="9">
        <f>SUMIFS($M$7:$M15,$B$7:$B15,$B16,$A$7:$A15,"&lt;"&amp;$A16)</f>
        <v/>
      </c>
      <c r="L16" s="6">
        <f>MAX(0,FLOOR((J16-K16)/$E16,1))</f>
        <v/>
      </c>
      <c r="M16" s="9">
        <f>L16*$E16</f>
        <v/>
      </c>
      <c r="N16" s="9">
        <f>N$4*VLOOKUP($B16,'Space Types'!$A$2:$B$6,2,FALSE)</f>
        <v/>
      </c>
      <c r="O16" s="9">
        <f>SUMIFS($Q$7:$Q15,$B$7:$B15,$B16,$A$7:$A15,"&lt;"&amp;$A16)</f>
        <v/>
      </c>
      <c r="P16" s="6">
        <f>MAX(0,FLOOR((N16-O16)/$E16,1))</f>
        <v/>
      </c>
      <c r="Q16" s="9">
        <f>P16*$E16</f>
        <v/>
      </c>
    </row>
    <row r="17">
      <c r="A17" s="6" t="n">
        <v>11</v>
      </c>
      <c r="B17" s="18" t="inlineStr">
        <is>
          <t>Machine Zone</t>
        </is>
      </c>
      <c r="C17" s="6" t="inlineStr">
        <is>
          <t>Cable Crossover Station</t>
        </is>
      </c>
      <c r="D17" s="6">
        <f>VLOOKUP(C17,Equipment!$C$2:$K$24,2,FALSE)</f>
        <v/>
      </c>
      <c r="E17" s="9">
        <f>VLOOKUP(C17,Equipment!$C$2:$K$24,9,FALSE)</f>
        <v/>
      </c>
      <c r="F17" s="9">
        <f>F$4*VLOOKUP($B17,'Space Types'!$A$2:$B$6,2,FALSE)</f>
        <v/>
      </c>
      <c r="G17" s="9">
        <f>SUMIFS($I$7:$I16,$B$7:$B16,$B17,$A$7:$A16,"&lt;"&amp;$A17)</f>
        <v/>
      </c>
      <c r="H17" s="6">
        <f>MAX(0,FLOOR((F17-G17)/$E17,1))</f>
        <v/>
      </c>
      <c r="I17" s="9">
        <f>H17*$E17</f>
        <v/>
      </c>
      <c r="J17" s="9">
        <f>J$4*VLOOKUP($B17,'Space Types'!$A$2:$B$6,2,FALSE)</f>
        <v/>
      </c>
      <c r="K17" s="9">
        <f>SUMIFS($M$7:$M16,$B$7:$B16,$B17,$A$7:$A16,"&lt;"&amp;$A17)</f>
        <v/>
      </c>
      <c r="L17" s="6">
        <f>MAX(0,FLOOR((J17-K17)/$E17,1))</f>
        <v/>
      </c>
      <c r="M17" s="9">
        <f>L17*$E17</f>
        <v/>
      </c>
      <c r="N17" s="9">
        <f>N$4*VLOOKUP($B17,'Space Types'!$A$2:$B$6,2,FALSE)</f>
        <v/>
      </c>
      <c r="O17" s="9">
        <f>SUMIFS($Q$7:$Q16,$B$7:$B16,$B17,$A$7:$A16,"&lt;"&amp;$A17)</f>
        <v/>
      </c>
      <c r="P17" s="6">
        <f>MAX(0,FLOOR((N17-O17)/$E17,1))</f>
        <v/>
      </c>
      <c r="Q17" s="9">
        <f>P17*$E17</f>
        <v/>
      </c>
    </row>
    <row r="18">
      <c r="A18" s="6" t="n">
        <v>12</v>
      </c>
      <c r="B18" s="18" t="inlineStr">
        <is>
          <t>Machine Zone</t>
        </is>
      </c>
      <c r="C18" s="6" t="inlineStr">
        <is>
          <t>Leg Press Machine</t>
        </is>
      </c>
      <c r="D18" s="6">
        <f>VLOOKUP(C18,Equipment!$C$2:$K$24,2,FALSE)</f>
        <v/>
      </c>
      <c r="E18" s="9">
        <f>VLOOKUP(C18,Equipment!$C$2:$K$24,9,FALSE)</f>
        <v/>
      </c>
      <c r="F18" s="9">
        <f>F$4*VLOOKUP($B18,'Space Types'!$A$2:$B$6,2,FALSE)</f>
        <v/>
      </c>
      <c r="G18" s="9">
        <f>SUMIFS($I$7:$I17,$B$7:$B17,$B18,$A$7:$A17,"&lt;"&amp;$A18)</f>
        <v/>
      </c>
      <c r="H18" s="6">
        <f>MAX(0,FLOOR((F18-G18)/$E18,1))</f>
        <v/>
      </c>
      <c r="I18" s="9">
        <f>H18*$E18</f>
        <v/>
      </c>
      <c r="J18" s="9">
        <f>J$4*VLOOKUP($B18,'Space Types'!$A$2:$B$6,2,FALSE)</f>
        <v/>
      </c>
      <c r="K18" s="9">
        <f>SUMIFS($M$7:$M17,$B$7:$B17,$B18,$A$7:$A17,"&lt;"&amp;$A18)</f>
        <v/>
      </c>
      <c r="L18" s="6">
        <f>MAX(0,FLOOR((J18-K18)/$E18,1))</f>
        <v/>
      </c>
      <c r="M18" s="9">
        <f>L18*$E18</f>
        <v/>
      </c>
      <c r="N18" s="9">
        <f>N$4*VLOOKUP($B18,'Space Types'!$A$2:$B$6,2,FALSE)</f>
        <v/>
      </c>
      <c r="O18" s="9">
        <f>SUMIFS($Q$7:$Q17,$B$7:$B17,$B18,$A$7:$A17,"&lt;"&amp;$A18)</f>
        <v/>
      </c>
      <c r="P18" s="6">
        <f>MAX(0,FLOOR((N18-O18)/$E18,1))</f>
        <v/>
      </c>
      <c r="Q18" s="9">
        <f>P18*$E18</f>
        <v/>
      </c>
    </row>
    <row r="19">
      <c r="A19" s="6" t="n">
        <v>13</v>
      </c>
      <c r="B19" s="18" t="inlineStr">
        <is>
          <t>Machine Zone</t>
        </is>
      </c>
      <c r="C19" s="6" t="inlineStr">
        <is>
          <t>Lat Pulldown Machine</t>
        </is>
      </c>
      <c r="D19" s="6">
        <f>VLOOKUP(C19,Equipment!$C$2:$K$24,2,FALSE)</f>
        <v/>
      </c>
      <c r="E19" s="9">
        <f>VLOOKUP(C19,Equipment!$C$2:$K$24,9,FALSE)</f>
        <v/>
      </c>
      <c r="F19" s="9">
        <f>F$4*VLOOKUP($B19,'Space Types'!$A$2:$B$6,2,FALSE)</f>
        <v/>
      </c>
      <c r="G19" s="9">
        <f>SUMIFS($I$7:$I18,$B$7:$B18,$B19,$A$7:$A18,"&lt;"&amp;$A19)</f>
        <v/>
      </c>
      <c r="H19" s="6">
        <f>MAX(0,FLOOR((F19-G19)/$E19,1))</f>
        <v/>
      </c>
      <c r="I19" s="9">
        <f>H19*$E19</f>
        <v/>
      </c>
      <c r="J19" s="9">
        <f>J$4*VLOOKUP($B19,'Space Types'!$A$2:$B$6,2,FALSE)</f>
        <v/>
      </c>
      <c r="K19" s="9">
        <f>SUMIFS($M$7:$M18,$B$7:$B18,$B19,$A$7:$A18,"&lt;"&amp;$A19)</f>
        <v/>
      </c>
      <c r="L19" s="6">
        <f>MAX(0,FLOOR((J19-K19)/$E19,1))</f>
        <v/>
      </c>
      <c r="M19" s="9">
        <f>L19*$E19</f>
        <v/>
      </c>
      <c r="N19" s="9">
        <f>N$4*VLOOKUP($B19,'Space Types'!$A$2:$B$6,2,FALSE)</f>
        <v/>
      </c>
      <c r="O19" s="9">
        <f>SUMIFS($Q$7:$Q18,$B$7:$B18,$B19,$A$7:$A18,"&lt;"&amp;$A19)</f>
        <v/>
      </c>
      <c r="P19" s="6">
        <f>MAX(0,FLOOR((N19-O19)/$E19,1))</f>
        <v/>
      </c>
      <c r="Q19" s="9">
        <f>P19*$E19</f>
        <v/>
      </c>
    </row>
    <row r="20">
      <c r="A20" s="6" t="n">
        <v>14</v>
      </c>
      <c r="B20" s="18" t="inlineStr">
        <is>
          <t>Machine Zone</t>
        </is>
      </c>
      <c r="C20" s="6" t="inlineStr">
        <is>
          <t>Chest Press Machine</t>
        </is>
      </c>
      <c r="D20" s="6">
        <f>VLOOKUP(C20,Equipment!$C$2:$K$24,2,FALSE)</f>
        <v/>
      </c>
      <c r="E20" s="9">
        <f>VLOOKUP(C20,Equipment!$C$2:$K$24,9,FALSE)</f>
        <v/>
      </c>
      <c r="F20" s="9">
        <f>F$4*VLOOKUP($B20,'Space Types'!$A$2:$B$6,2,FALSE)</f>
        <v/>
      </c>
      <c r="G20" s="9">
        <f>SUMIFS($I$7:$I19,$B$7:$B19,$B20,$A$7:$A19,"&lt;"&amp;$A20)</f>
        <v/>
      </c>
      <c r="H20" s="6">
        <f>MAX(0,FLOOR((F20-G20)/$E20,1))</f>
        <v/>
      </c>
      <c r="I20" s="9">
        <f>H20*$E20</f>
        <v/>
      </c>
      <c r="J20" s="9">
        <f>J$4*VLOOKUP($B20,'Space Types'!$A$2:$B$6,2,FALSE)</f>
        <v/>
      </c>
      <c r="K20" s="9">
        <f>SUMIFS($M$7:$M19,$B$7:$B19,$B20,$A$7:$A19,"&lt;"&amp;$A20)</f>
        <v/>
      </c>
      <c r="L20" s="6">
        <f>MAX(0,FLOOR((J20-K20)/$E20,1))</f>
        <v/>
      </c>
      <c r="M20" s="9">
        <f>L20*$E20</f>
        <v/>
      </c>
      <c r="N20" s="9">
        <f>N$4*VLOOKUP($B20,'Space Types'!$A$2:$B$6,2,FALSE)</f>
        <v/>
      </c>
      <c r="O20" s="9">
        <f>SUMIFS($Q$7:$Q19,$B$7:$B19,$B20,$A$7:$A19,"&lt;"&amp;$A20)</f>
        <v/>
      </c>
      <c r="P20" s="6">
        <f>MAX(0,FLOOR((N20-O20)/$E20,1))</f>
        <v/>
      </c>
      <c r="Q20" s="9">
        <f>P20*$E20</f>
        <v/>
      </c>
    </row>
    <row r="21">
      <c r="A21" s="6" t="n">
        <v>15</v>
      </c>
      <c r="B21" s="18" t="inlineStr">
        <is>
          <t>Machine Zone</t>
        </is>
      </c>
      <c r="C21" s="6" t="inlineStr">
        <is>
          <t>Leg Extension/Curl Machine</t>
        </is>
      </c>
      <c r="D21" s="6">
        <f>VLOOKUP(C21,Equipment!$C$2:$K$24,2,FALSE)</f>
        <v/>
      </c>
      <c r="E21" s="9">
        <f>VLOOKUP(C21,Equipment!$C$2:$K$24,9,FALSE)</f>
        <v/>
      </c>
      <c r="F21" s="9">
        <f>F$4*VLOOKUP($B21,'Space Types'!$A$2:$B$6,2,FALSE)</f>
        <v/>
      </c>
      <c r="G21" s="9">
        <f>SUMIFS($I$7:$I20,$B$7:$B20,$B21,$A$7:$A20,"&lt;"&amp;$A21)</f>
        <v/>
      </c>
      <c r="H21" s="6">
        <f>MAX(0,FLOOR((F21-G21)/$E21,1))</f>
        <v/>
      </c>
      <c r="I21" s="9">
        <f>H21*$E21</f>
        <v/>
      </c>
      <c r="J21" s="9">
        <f>J$4*VLOOKUP($B21,'Space Types'!$A$2:$B$6,2,FALSE)</f>
        <v/>
      </c>
      <c r="K21" s="9">
        <f>SUMIFS($M$7:$M20,$B$7:$B20,$B21,$A$7:$A20,"&lt;"&amp;$A21)</f>
        <v/>
      </c>
      <c r="L21" s="6">
        <f>MAX(0,FLOOR((J21-K21)/$E21,1))</f>
        <v/>
      </c>
      <c r="M21" s="9">
        <f>L21*$E21</f>
        <v/>
      </c>
      <c r="N21" s="9">
        <f>N$4*VLOOKUP($B21,'Space Types'!$A$2:$B$6,2,FALSE)</f>
        <v/>
      </c>
      <c r="O21" s="9">
        <f>SUMIFS($Q$7:$Q20,$B$7:$B20,$B21,$A$7:$A20,"&lt;"&amp;$A21)</f>
        <v/>
      </c>
      <c r="P21" s="6">
        <f>MAX(0,FLOOR((N21-O21)/$E21,1))</f>
        <v/>
      </c>
      <c r="Q21" s="9">
        <f>P21*$E21</f>
        <v/>
      </c>
    </row>
    <row r="22">
      <c r="A22" s="6" t="n">
        <v>16</v>
      </c>
      <c r="B22" s="18" t="inlineStr">
        <is>
          <t>Functional Zone</t>
        </is>
      </c>
      <c r="C22" s="6" t="inlineStr">
        <is>
          <t>Turf Sprint Lane</t>
        </is>
      </c>
      <c r="D22" s="6">
        <f>VLOOKUP(C22,Equipment!$C$2:$K$24,2,FALSE)</f>
        <v/>
      </c>
      <c r="E22" s="9">
        <f>VLOOKUP(C22,Equipment!$C$2:$K$24,9,FALSE)</f>
        <v/>
      </c>
      <c r="F22" s="9">
        <f>F$4*VLOOKUP($B22,'Space Types'!$A$2:$B$6,2,FALSE)</f>
        <v/>
      </c>
      <c r="G22" s="9">
        <f>SUMIFS($I$7:$I21,$B$7:$B21,$B22,$A$7:$A21,"&lt;"&amp;$A22)</f>
        <v/>
      </c>
      <c r="H22" s="6">
        <f>MAX(0,FLOOR((F22-G22)/$E22,1))</f>
        <v/>
      </c>
      <c r="I22" s="9">
        <f>H22*$E22</f>
        <v/>
      </c>
      <c r="J22" s="9">
        <f>J$4*VLOOKUP($B22,'Space Types'!$A$2:$B$6,2,FALSE)</f>
        <v/>
      </c>
      <c r="K22" s="9">
        <f>SUMIFS($M$7:$M21,$B$7:$B21,$B22,$A$7:$A21,"&lt;"&amp;$A22)</f>
        <v/>
      </c>
      <c r="L22" s="6">
        <f>MAX(0,FLOOR((J22-K22)/$E22,1))</f>
        <v/>
      </c>
      <c r="M22" s="9">
        <f>L22*$E22</f>
        <v/>
      </c>
      <c r="N22" s="9">
        <f>N$4*VLOOKUP($B22,'Space Types'!$A$2:$B$6,2,FALSE)</f>
        <v/>
      </c>
      <c r="O22" s="9">
        <f>SUMIFS($Q$7:$Q21,$B$7:$B21,$B22,$A$7:$A21,"&lt;"&amp;$A22)</f>
        <v/>
      </c>
      <c r="P22" s="6">
        <f>MAX(0,FLOOR((N22-O22)/$E22,1))</f>
        <v/>
      </c>
      <c r="Q22" s="9">
        <f>P22*$E22</f>
        <v/>
      </c>
    </row>
    <row r="23">
      <c r="A23" s="6" t="n">
        <v>17</v>
      </c>
      <c r="B23" s="18" t="inlineStr">
        <is>
          <t>Functional Zone</t>
        </is>
      </c>
      <c r="C23" s="6" t="inlineStr">
        <is>
          <t>Battle Ropes Station</t>
        </is>
      </c>
      <c r="D23" s="6">
        <f>VLOOKUP(C23,Equipment!$C$2:$K$24,2,FALSE)</f>
        <v/>
      </c>
      <c r="E23" s="9">
        <f>VLOOKUP(C23,Equipment!$C$2:$K$24,9,FALSE)</f>
        <v/>
      </c>
      <c r="F23" s="9">
        <f>F$4*VLOOKUP($B23,'Space Types'!$A$2:$B$6,2,FALSE)</f>
        <v/>
      </c>
      <c r="G23" s="9">
        <f>SUMIFS($I$7:$I22,$B$7:$B22,$B23,$A$7:$A22,"&lt;"&amp;$A23)</f>
        <v/>
      </c>
      <c r="H23" s="6">
        <f>MAX(0,FLOOR((F23-G23)/$E23,1))</f>
        <v/>
      </c>
      <c r="I23" s="9">
        <f>H23*$E23</f>
        <v/>
      </c>
      <c r="J23" s="9">
        <f>J$4*VLOOKUP($B23,'Space Types'!$A$2:$B$6,2,FALSE)</f>
        <v/>
      </c>
      <c r="K23" s="9">
        <f>SUMIFS($M$7:$M22,$B$7:$B22,$B23,$A$7:$A22,"&lt;"&amp;$A23)</f>
        <v/>
      </c>
      <c r="L23" s="6">
        <f>MAX(0,FLOOR((J23-K23)/$E23,1))</f>
        <v/>
      </c>
      <c r="M23" s="9">
        <f>L23*$E23</f>
        <v/>
      </c>
      <c r="N23" s="9">
        <f>N$4*VLOOKUP($B23,'Space Types'!$A$2:$B$6,2,FALSE)</f>
        <v/>
      </c>
      <c r="O23" s="9">
        <f>SUMIFS($Q$7:$Q22,$B$7:$B22,$B23,$A$7:$A22,"&lt;"&amp;$A23)</f>
        <v/>
      </c>
      <c r="P23" s="6">
        <f>MAX(0,FLOOR((N23-O23)/$E23,1))</f>
        <v/>
      </c>
      <c r="Q23" s="9">
        <f>P23*$E23</f>
        <v/>
      </c>
    </row>
    <row r="24">
      <c r="A24" s="6" t="n">
        <v>18</v>
      </c>
      <c r="B24" s="18" t="inlineStr">
        <is>
          <t>Functional Zone</t>
        </is>
      </c>
      <c r="C24" s="6" t="inlineStr">
        <is>
          <t>Plyo Box Set</t>
        </is>
      </c>
      <c r="D24" s="6">
        <f>VLOOKUP(C24,Equipment!$C$2:$K$24,2,FALSE)</f>
        <v/>
      </c>
      <c r="E24" s="9">
        <f>VLOOKUP(C24,Equipment!$C$2:$K$24,9,FALSE)</f>
        <v/>
      </c>
      <c r="F24" s="9">
        <f>F$4*VLOOKUP($B24,'Space Types'!$A$2:$B$6,2,FALSE)</f>
        <v/>
      </c>
      <c r="G24" s="9">
        <f>SUMIFS($I$7:$I23,$B$7:$B23,$B24,$A$7:$A23,"&lt;"&amp;$A24)</f>
        <v/>
      </c>
      <c r="H24" s="6">
        <f>MAX(0,FLOOR((F24-G24)/$E24,1))</f>
        <v/>
      </c>
      <c r="I24" s="9">
        <f>H24*$E24</f>
        <v/>
      </c>
      <c r="J24" s="9">
        <f>J$4*VLOOKUP($B24,'Space Types'!$A$2:$B$6,2,FALSE)</f>
        <v/>
      </c>
      <c r="K24" s="9">
        <f>SUMIFS($M$7:$M23,$B$7:$B23,$B24,$A$7:$A23,"&lt;"&amp;$A24)</f>
        <v/>
      </c>
      <c r="L24" s="6">
        <f>MAX(0,FLOOR((J24-K24)/$E24,1))</f>
        <v/>
      </c>
      <c r="M24" s="9">
        <f>L24*$E24</f>
        <v/>
      </c>
      <c r="N24" s="9">
        <f>N$4*VLOOKUP($B24,'Space Types'!$A$2:$B$6,2,FALSE)</f>
        <v/>
      </c>
      <c r="O24" s="9">
        <f>SUMIFS($Q$7:$Q23,$B$7:$B23,$B24,$A$7:$A23,"&lt;"&amp;$A24)</f>
        <v/>
      </c>
      <c r="P24" s="6">
        <f>MAX(0,FLOOR((N24-O24)/$E24,1))</f>
        <v/>
      </c>
      <c r="Q24" s="9">
        <f>P24*$E24</f>
        <v/>
      </c>
    </row>
    <row r="25">
      <c r="A25" s="6" t="n">
        <v>19</v>
      </c>
      <c r="B25" s="18" t="inlineStr">
        <is>
          <t>Functional Zone</t>
        </is>
      </c>
      <c r="C25" s="6" t="inlineStr">
        <is>
          <t>Suspension Trainer Station</t>
        </is>
      </c>
      <c r="D25" s="6">
        <f>VLOOKUP(C25,Equipment!$C$2:$K$24,2,FALSE)</f>
        <v/>
      </c>
      <c r="E25" s="9">
        <f>VLOOKUP(C25,Equipment!$C$2:$K$24,9,FALSE)</f>
        <v/>
      </c>
      <c r="F25" s="9">
        <f>F$4*VLOOKUP($B25,'Space Types'!$A$2:$B$6,2,FALSE)</f>
        <v/>
      </c>
      <c r="G25" s="9">
        <f>SUMIFS($I$7:$I24,$B$7:$B24,$B25,$A$7:$A24,"&lt;"&amp;$A25)</f>
        <v/>
      </c>
      <c r="H25" s="6">
        <f>MAX(0,FLOOR((F25-G25)/$E25,1))</f>
        <v/>
      </c>
      <c r="I25" s="9">
        <f>H25*$E25</f>
        <v/>
      </c>
      <c r="J25" s="9">
        <f>J$4*VLOOKUP($B25,'Space Types'!$A$2:$B$6,2,FALSE)</f>
        <v/>
      </c>
      <c r="K25" s="9">
        <f>SUMIFS($M$7:$M24,$B$7:$B24,$B25,$A$7:$A24,"&lt;"&amp;$A25)</f>
        <v/>
      </c>
      <c r="L25" s="6">
        <f>MAX(0,FLOOR((J25-K25)/$E25,1))</f>
        <v/>
      </c>
      <c r="M25" s="9">
        <f>L25*$E25</f>
        <v/>
      </c>
      <c r="N25" s="9">
        <f>N$4*VLOOKUP($B25,'Space Types'!$A$2:$B$6,2,FALSE)</f>
        <v/>
      </c>
      <c r="O25" s="9">
        <f>SUMIFS($Q$7:$Q24,$B$7:$B24,$B25,$A$7:$A24,"&lt;"&amp;$A25)</f>
        <v/>
      </c>
      <c r="P25" s="6">
        <f>MAX(0,FLOOR((N25-O25)/$E25,1))</f>
        <v/>
      </c>
      <c r="Q25" s="9">
        <f>P25*$E25</f>
        <v/>
      </c>
    </row>
    <row r="26">
      <c r="A26" s="6" t="n">
        <v>20</v>
      </c>
      <c r="B26" s="18" t="inlineStr">
        <is>
          <t>Functional Zone</t>
        </is>
      </c>
      <c r="C26" s="6" t="inlineStr">
        <is>
          <t>Kettlebell Rack</t>
        </is>
      </c>
      <c r="D26" s="6">
        <f>VLOOKUP(C26,Equipment!$C$2:$K$24,2,FALSE)</f>
        <v/>
      </c>
      <c r="E26" s="9">
        <f>VLOOKUP(C26,Equipment!$C$2:$K$24,9,FALSE)</f>
        <v/>
      </c>
      <c r="F26" s="9">
        <f>F$4*VLOOKUP($B26,'Space Types'!$A$2:$B$6,2,FALSE)</f>
        <v/>
      </c>
      <c r="G26" s="9">
        <f>SUMIFS($I$7:$I25,$B$7:$B25,$B26,$A$7:$A25,"&lt;"&amp;$A26)</f>
        <v/>
      </c>
      <c r="H26" s="6">
        <f>MAX(0,FLOOR((F26-G26)/$E26,1))</f>
        <v/>
      </c>
      <c r="I26" s="9">
        <f>H26*$E26</f>
        <v/>
      </c>
      <c r="J26" s="9">
        <f>J$4*VLOOKUP($B26,'Space Types'!$A$2:$B$6,2,FALSE)</f>
        <v/>
      </c>
      <c r="K26" s="9">
        <f>SUMIFS($M$7:$M25,$B$7:$B25,$B26,$A$7:$A25,"&lt;"&amp;$A26)</f>
        <v/>
      </c>
      <c r="L26" s="6">
        <f>MAX(0,FLOOR((J26-K26)/$E26,1))</f>
        <v/>
      </c>
      <c r="M26" s="9">
        <f>L26*$E26</f>
        <v/>
      </c>
      <c r="N26" s="9">
        <f>N$4*VLOOKUP($B26,'Space Types'!$A$2:$B$6,2,FALSE)</f>
        <v/>
      </c>
      <c r="O26" s="9">
        <f>SUMIFS($Q$7:$Q25,$B$7:$B25,$B26,$A$7:$A25,"&lt;"&amp;$A26)</f>
        <v/>
      </c>
      <c r="P26" s="6">
        <f>MAX(0,FLOOR((N26-O26)/$E26,1))</f>
        <v/>
      </c>
      <c r="Q26" s="9">
        <f>P26*$E26</f>
        <v/>
      </c>
    </row>
    <row r="27">
      <c r="A27" s="6" t="n">
        <v>21</v>
      </c>
      <c r="B27" s="18" t="inlineStr">
        <is>
          <t>Recovery Zone</t>
        </is>
      </c>
      <c r="C27" s="6" t="inlineStr">
        <is>
          <t>Stretching Mat Area</t>
        </is>
      </c>
      <c r="D27" s="6">
        <f>VLOOKUP(C27,Equipment!$C$2:$K$24,2,FALSE)</f>
        <v/>
      </c>
      <c r="E27" s="9">
        <f>VLOOKUP(C27,Equipment!$C$2:$K$24,9,FALSE)</f>
        <v/>
      </c>
      <c r="F27" s="9">
        <f>F$4*VLOOKUP($B27,'Space Types'!$A$2:$B$6,2,FALSE)</f>
        <v/>
      </c>
      <c r="G27" s="9">
        <f>SUMIFS($I$7:$I26,$B$7:$B26,$B27,$A$7:$A26,"&lt;"&amp;$A27)</f>
        <v/>
      </c>
      <c r="H27" s="6">
        <f>MAX(0,FLOOR((F27-G27)/$E27,1))</f>
        <v/>
      </c>
      <c r="I27" s="9">
        <f>H27*$E27</f>
        <v/>
      </c>
      <c r="J27" s="9">
        <f>J$4*VLOOKUP($B27,'Space Types'!$A$2:$B$6,2,FALSE)</f>
        <v/>
      </c>
      <c r="K27" s="9">
        <f>SUMIFS($M$7:$M26,$B$7:$B26,$B27,$A$7:$A26,"&lt;"&amp;$A27)</f>
        <v/>
      </c>
      <c r="L27" s="6">
        <f>MAX(0,FLOOR((J27-K27)/$E27,1))</f>
        <v/>
      </c>
      <c r="M27" s="9">
        <f>L27*$E27</f>
        <v/>
      </c>
      <c r="N27" s="9">
        <f>N$4*VLOOKUP($B27,'Space Types'!$A$2:$B$6,2,FALSE)</f>
        <v/>
      </c>
      <c r="O27" s="9">
        <f>SUMIFS($Q$7:$Q26,$B$7:$B26,$B27,$A$7:$A26,"&lt;"&amp;$A27)</f>
        <v/>
      </c>
      <c r="P27" s="6">
        <f>MAX(0,FLOOR((N27-O27)/$E27,1))</f>
        <v/>
      </c>
      <c r="Q27" s="9">
        <f>P27*$E27</f>
        <v/>
      </c>
    </row>
    <row r="28">
      <c r="A28" s="6" t="n">
        <v>22</v>
      </c>
      <c r="B28" s="18" t="inlineStr">
        <is>
          <t>Recovery Zone</t>
        </is>
      </c>
      <c r="C28" s="6" t="inlineStr">
        <is>
          <t>Foam Roller Station</t>
        </is>
      </c>
      <c r="D28" s="6">
        <f>VLOOKUP(C28,Equipment!$C$2:$K$24,2,FALSE)</f>
        <v/>
      </c>
      <c r="E28" s="9">
        <f>VLOOKUP(C28,Equipment!$C$2:$K$24,9,FALSE)</f>
        <v/>
      </c>
      <c r="F28" s="9">
        <f>F$4*VLOOKUP($B28,'Space Types'!$A$2:$B$6,2,FALSE)</f>
        <v/>
      </c>
      <c r="G28" s="9">
        <f>SUMIFS($I$7:$I27,$B$7:$B27,$B28,$A$7:$A27,"&lt;"&amp;$A28)</f>
        <v/>
      </c>
      <c r="H28" s="6">
        <f>MAX(0,FLOOR((F28-G28)/$E28,1))</f>
        <v/>
      </c>
      <c r="I28" s="9">
        <f>H28*$E28</f>
        <v/>
      </c>
      <c r="J28" s="9">
        <f>J$4*VLOOKUP($B28,'Space Types'!$A$2:$B$6,2,FALSE)</f>
        <v/>
      </c>
      <c r="K28" s="9">
        <f>SUMIFS($M$7:$M27,$B$7:$B27,$B28,$A$7:$A27,"&lt;"&amp;$A28)</f>
        <v/>
      </c>
      <c r="L28" s="6">
        <f>MAX(0,FLOOR((J28-K28)/$E28,1))</f>
        <v/>
      </c>
      <c r="M28" s="9">
        <f>L28*$E28</f>
        <v/>
      </c>
      <c r="N28" s="9">
        <f>N$4*VLOOKUP($B28,'Space Types'!$A$2:$B$6,2,FALSE)</f>
        <v/>
      </c>
      <c r="O28" s="9">
        <f>SUMIFS($Q$7:$Q27,$B$7:$B27,$B28,$A$7:$A27,"&lt;"&amp;$A28)</f>
        <v/>
      </c>
      <c r="P28" s="6">
        <f>MAX(0,FLOOR((N28-O28)/$E28,1))</f>
        <v/>
      </c>
      <c r="Q28" s="9">
        <f>P28*$E28</f>
        <v/>
      </c>
    </row>
    <row r="29">
      <c r="A29" s="6" t="n">
        <v>23</v>
      </c>
      <c r="B29" s="18" t="inlineStr">
        <is>
          <t>Recovery Zone</t>
        </is>
      </c>
      <c r="C29" s="6" t="inlineStr">
        <is>
          <t>Massage Chair</t>
        </is>
      </c>
      <c r="D29" s="6">
        <f>VLOOKUP(C29,Equipment!$C$2:$K$24,2,FALSE)</f>
        <v/>
      </c>
      <c r="E29" s="9">
        <f>VLOOKUP(C29,Equipment!$C$2:$K$24,9,FALSE)</f>
        <v/>
      </c>
      <c r="F29" s="9">
        <f>F$4*VLOOKUP($B29,'Space Types'!$A$2:$B$6,2,FALSE)</f>
        <v/>
      </c>
      <c r="G29" s="9">
        <f>SUMIFS($I$7:$I28,$B$7:$B28,$B29,$A$7:$A28,"&lt;"&amp;$A29)</f>
        <v/>
      </c>
      <c r="H29" s="6">
        <f>MAX(0,FLOOR((F29-G29)/$E29,1))</f>
        <v/>
      </c>
      <c r="I29" s="9">
        <f>H29*$E29</f>
        <v/>
      </c>
      <c r="J29" s="9">
        <f>J$4*VLOOKUP($B29,'Space Types'!$A$2:$B$6,2,FALSE)</f>
        <v/>
      </c>
      <c r="K29" s="9">
        <f>SUMIFS($M$7:$M28,$B$7:$B28,$B29,$A$7:$A28,"&lt;"&amp;$A29)</f>
        <v/>
      </c>
      <c r="L29" s="6">
        <f>MAX(0,FLOOR((J29-K29)/$E29,1))</f>
        <v/>
      </c>
      <c r="M29" s="9">
        <f>L29*$E29</f>
        <v/>
      </c>
      <c r="N29" s="9">
        <f>N$4*VLOOKUP($B29,'Space Types'!$A$2:$B$6,2,FALSE)</f>
        <v/>
      </c>
      <c r="O29" s="9">
        <f>SUMIFS($Q$7:$Q28,$B$7:$B28,$B29,$A$7:$A28,"&lt;"&amp;$A29)</f>
        <v/>
      </c>
      <c r="P29" s="6">
        <f>MAX(0,FLOOR((N29-O29)/$E29,1))</f>
        <v/>
      </c>
      <c r="Q29" s="9">
        <f>P29*$E29</f>
        <v/>
      </c>
    </row>
    <row r="30">
      <c r="C30" s="11" t="inlineStr">
        <is>
          <t>TOTAL AREA USED / UTILIZATION</t>
        </is>
      </c>
      <c r="H30" s="12">
        <f>I30/F$4</f>
        <v/>
      </c>
      <c r="I30" s="19">
        <f>SUM(I7:I29)</f>
        <v/>
      </c>
      <c r="L30" s="12">
        <f>M30/J$4</f>
        <v/>
      </c>
      <c r="M30" s="19">
        <f>SUM(M7:M29)</f>
        <v/>
      </c>
      <c r="P30" s="12">
        <f>Q30/N$4</f>
        <v/>
      </c>
      <c r="Q30" s="19">
        <f>SUM(Q7:Q29)</f>
        <v/>
      </c>
    </row>
  </sheetData>
  <mergeCells count="6">
    <mergeCell ref="F3:I3"/>
    <mergeCell ref="F4:I4"/>
    <mergeCell ref="J3:M3"/>
    <mergeCell ref="J4:M4"/>
    <mergeCell ref="N3:Q3"/>
    <mergeCell ref="N4:Q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3" t="inlineStr">
        <is>
          <t>Scenario Summary — zone budget vs. area used</t>
        </is>
      </c>
    </row>
    <row r="2">
      <c r="A2" s="2" t="inlineStr">
        <is>
          <t>Sanity-check: utilization should stay well under/around 100% per zone; wildly off numbers mean the zone %, footprints, or clearances need adjusting.</t>
        </is>
      </c>
    </row>
    <row r="4">
      <c r="A4" s="20" t="inlineStr">
        <is>
          <t>Scenario A (100 sqm)</t>
        </is>
      </c>
    </row>
    <row r="5">
      <c r="A5" s="5" t="inlineStr">
        <is>
          <t>Zone</t>
        </is>
      </c>
      <c r="B5" s="5" t="inlineStr">
        <is>
          <t>Zone Budget (sqm)</t>
        </is>
      </c>
      <c r="C5" s="5" t="inlineStr">
        <is>
          <t>Area Used (sqm)</t>
        </is>
      </c>
      <c r="D5" s="5" t="inlineStr">
        <is>
          <t>Utilization %</t>
        </is>
      </c>
      <c r="E5" s="5" t="inlineStr">
        <is>
          <t>Equipment Units</t>
        </is>
      </c>
    </row>
    <row r="6">
      <c r="A6" s="18" t="inlineStr">
        <is>
          <t>Cardio Zone</t>
        </is>
      </c>
      <c r="B6" s="21">
        <f>SUMIFS('Recommendation Model'!$F$7:$F$29,'Recommendation Model'!$B$7:$B$29,A6)/COUNTIFS('Recommendation Model'!$B$7:$B$29,A6)</f>
        <v/>
      </c>
      <c r="C6" s="21">
        <f>SUMIFS('Recommendation Model'!$I$7:$I$29,'Recommendation Model'!$B$7:$B$29,A6)</f>
        <v/>
      </c>
      <c r="D6" s="22">
        <f>C6/B6</f>
        <v/>
      </c>
      <c r="E6" s="23">
        <f>SUMIFS('Recommendation Model'!$H$7:$H$29,'Recommendation Model'!$B$7:$B$29,A6)</f>
        <v/>
      </c>
    </row>
    <row r="7">
      <c r="A7" s="18" t="inlineStr">
        <is>
          <t>Free Weight Zone</t>
        </is>
      </c>
      <c r="B7" s="21">
        <f>SUMIFS('Recommendation Model'!$F$7:$F$29,'Recommendation Model'!$B$7:$B$29,A7)/COUNTIFS('Recommendation Model'!$B$7:$B$29,A7)</f>
        <v/>
      </c>
      <c r="C7" s="21">
        <f>SUMIFS('Recommendation Model'!$I$7:$I$29,'Recommendation Model'!$B$7:$B$29,A7)</f>
        <v/>
      </c>
      <c r="D7" s="22">
        <f>C7/B7</f>
        <v/>
      </c>
      <c r="E7" s="23">
        <f>SUMIFS('Recommendation Model'!$H$7:$H$29,'Recommendation Model'!$B$7:$B$29,A7)</f>
        <v/>
      </c>
    </row>
    <row r="8">
      <c r="A8" s="18" t="inlineStr">
        <is>
          <t>Machine Zone</t>
        </is>
      </c>
      <c r="B8" s="21">
        <f>SUMIFS('Recommendation Model'!$F$7:$F$29,'Recommendation Model'!$B$7:$B$29,A8)/COUNTIFS('Recommendation Model'!$B$7:$B$29,A8)</f>
        <v/>
      </c>
      <c r="C8" s="21">
        <f>SUMIFS('Recommendation Model'!$I$7:$I$29,'Recommendation Model'!$B$7:$B$29,A8)</f>
        <v/>
      </c>
      <c r="D8" s="22">
        <f>C8/B8</f>
        <v/>
      </c>
      <c r="E8" s="23">
        <f>SUMIFS('Recommendation Model'!$H$7:$H$29,'Recommendation Model'!$B$7:$B$29,A8)</f>
        <v/>
      </c>
    </row>
    <row r="9">
      <c r="A9" s="18" t="inlineStr">
        <is>
          <t>Functional Zone</t>
        </is>
      </c>
      <c r="B9" s="21">
        <f>SUMIFS('Recommendation Model'!$F$7:$F$29,'Recommendation Model'!$B$7:$B$29,A9)/COUNTIFS('Recommendation Model'!$B$7:$B$29,A9)</f>
        <v/>
      </c>
      <c r="C9" s="21">
        <f>SUMIFS('Recommendation Model'!$I$7:$I$29,'Recommendation Model'!$B$7:$B$29,A9)</f>
        <v/>
      </c>
      <c r="D9" s="22">
        <f>C9/B9</f>
        <v/>
      </c>
      <c r="E9" s="23">
        <f>SUMIFS('Recommendation Model'!$H$7:$H$29,'Recommendation Model'!$B$7:$B$29,A9)</f>
        <v/>
      </c>
    </row>
    <row r="10">
      <c r="A10" s="18" t="inlineStr">
        <is>
          <t>Recovery Zone</t>
        </is>
      </c>
      <c r="B10" s="21">
        <f>SUMIFS('Recommendation Model'!$F$7:$F$29,'Recommendation Model'!$B$7:$B$29,A10)/COUNTIFS('Recommendation Model'!$B$7:$B$29,A10)</f>
        <v/>
      </c>
      <c r="C10" s="21">
        <f>SUMIFS('Recommendation Model'!$I$7:$I$29,'Recommendation Model'!$B$7:$B$29,A10)</f>
        <v/>
      </c>
      <c r="D10" s="22">
        <f>C10/B10</f>
        <v/>
      </c>
      <c r="E10" s="23">
        <f>SUMIFS('Recommendation Model'!$H$7:$H$29,'Recommendation Model'!$B$7:$B$29,A10)</f>
        <v/>
      </c>
    </row>
    <row r="11">
      <c r="A11" s="24" t="inlineStr">
        <is>
          <t>Room Total</t>
        </is>
      </c>
      <c r="B11" s="25">
        <f>SUM(B6:B10)</f>
        <v/>
      </c>
      <c r="C11" s="25">
        <f>SUM(C6:C10)</f>
        <v/>
      </c>
      <c r="D11" s="26">
        <f>C11/B11</f>
        <v/>
      </c>
      <c r="E11" s="24">
        <f>SUM(E6:E10)</f>
        <v/>
      </c>
    </row>
    <row r="13">
      <c r="A13" s="20" t="inlineStr">
        <is>
          <t>Scenario B (200 sqm)</t>
        </is>
      </c>
    </row>
    <row r="14">
      <c r="A14" s="5" t="inlineStr">
        <is>
          <t>Zone</t>
        </is>
      </c>
      <c r="B14" s="5" t="inlineStr">
        <is>
          <t>Zone Budget (sqm)</t>
        </is>
      </c>
      <c r="C14" s="5" t="inlineStr">
        <is>
          <t>Area Used (sqm)</t>
        </is>
      </c>
      <c r="D14" s="5" t="inlineStr">
        <is>
          <t>Utilization %</t>
        </is>
      </c>
      <c r="E14" s="5" t="inlineStr">
        <is>
          <t>Equipment Units</t>
        </is>
      </c>
    </row>
    <row r="15">
      <c r="A15" s="18" t="inlineStr">
        <is>
          <t>Cardio Zone</t>
        </is>
      </c>
      <c r="B15" s="21">
        <f>SUMIFS('Recommendation Model'!$J$7:$J$29,'Recommendation Model'!$B$7:$B$29,A15)/COUNTIFS('Recommendation Model'!$B$7:$B$29,A15)</f>
        <v/>
      </c>
      <c r="C15" s="21">
        <f>SUMIFS('Recommendation Model'!$M$7:$M$29,'Recommendation Model'!$B$7:$B$29,A15)</f>
        <v/>
      </c>
      <c r="D15" s="22">
        <f>C15/B15</f>
        <v/>
      </c>
      <c r="E15" s="23">
        <f>SUMIFS('Recommendation Model'!$L$7:$L$29,'Recommendation Model'!$B$7:$B$29,A15)</f>
        <v/>
      </c>
    </row>
    <row r="16">
      <c r="A16" s="18" t="inlineStr">
        <is>
          <t>Free Weight Zone</t>
        </is>
      </c>
      <c r="B16" s="21">
        <f>SUMIFS('Recommendation Model'!$J$7:$J$29,'Recommendation Model'!$B$7:$B$29,A16)/COUNTIFS('Recommendation Model'!$B$7:$B$29,A16)</f>
        <v/>
      </c>
      <c r="C16" s="21">
        <f>SUMIFS('Recommendation Model'!$M$7:$M$29,'Recommendation Model'!$B$7:$B$29,A16)</f>
        <v/>
      </c>
      <c r="D16" s="22">
        <f>C16/B16</f>
        <v/>
      </c>
      <c r="E16" s="23">
        <f>SUMIFS('Recommendation Model'!$L$7:$L$29,'Recommendation Model'!$B$7:$B$29,A16)</f>
        <v/>
      </c>
    </row>
    <row r="17">
      <c r="A17" s="18" t="inlineStr">
        <is>
          <t>Machine Zone</t>
        </is>
      </c>
      <c r="B17" s="21">
        <f>SUMIFS('Recommendation Model'!$J$7:$J$29,'Recommendation Model'!$B$7:$B$29,A17)/COUNTIFS('Recommendation Model'!$B$7:$B$29,A17)</f>
        <v/>
      </c>
      <c r="C17" s="21">
        <f>SUMIFS('Recommendation Model'!$M$7:$M$29,'Recommendation Model'!$B$7:$B$29,A17)</f>
        <v/>
      </c>
      <c r="D17" s="22">
        <f>C17/B17</f>
        <v/>
      </c>
      <c r="E17" s="23">
        <f>SUMIFS('Recommendation Model'!$L$7:$L$29,'Recommendation Model'!$B$7:$B$29,A17)</f>
        <v/>
      </c>
    </row>
    <row r="18">
      <c r="A18" s="18" t="inlineStr">
        <is>
          <t>Functional Zone</t>
        </is>
      </c>
      <c r="B18" s="21">
        <f>SUMIFS('Recommendation Model'!$J$7:$J$29,'Recommendation Model'!$B$7:$B$29,A18)/COUNTIFS('Recommendation Model'!$B$7:$B$29,A18)</f>
        <v/>
      </c>
      <c r="C18" s="21">
        <f>SUMIFS('Recommendation Model'!$M$7:$M$29,'Recommendation Model'!$B$7:$B$29,A18)</f>
        <v/>
      </c>
      <c r="D18" s="22">
        <f>C18/B18</f>
        <v/>
      </c>
      <c r="E18" s="23">
        <f>SUMIFS('Recommendation Model'!$L$7:$L$29,'Recommendation Model'!$B$7:$B$29,A18)</f>
        <v/>
      </c>
    </row>
    <row r="19">
      <c r="A19" s="18" t="inlineStr">
        <is>
          <t>Recovery Zone</t>
        </is>
      </c>
      <c r="B19" s="21">
        <f>SUMIFS('Recommendation Model'!$J$7:$J$29,'Recommendation Model'!$B$7:$B$29,A19)/COUNTIFS('Recommendation Model'!$B$7:$B$29,A19)</f>
        <v/>
      </c>
      <c r="C19" s="21">
        <f>SUMIFS('Recommendation Model'!$M$7:$M$29,'Recommendation Model'!$B$7:$B$29,A19)</f>
        <v/>
      </c>
      <c r="D19" s="22">
        <f>C19/B19</f>
        <v/>
      </c>
      <c r="E19" s="23">
        <f>SUMIFS('Recommendation Model'!$L$7:$L$29,'Recommendation Model'!$B$7:$B$29,A19)</f>
        <v/>
      </c>
    </row>
    <row r="20">
      <c r="A20" s="24" t="inlineStr">
        <is>
          <t>Room Total</t>
        </is>
      </c>
      <c r="B20" s="25">
        <f>SUM(B15:B19)</f>
        <v/>
      </c>
      <c r="C20" s="25">
        <f>SUM(C15:C19)</f>
        <v/>
      </c>
      <c r="D20" s="26">
        <f>C20/B20</f>
        <v/>
      </c>
      <c r="E20" s="24">
        <f>SUM(E15:E19)</f>
        <v/>
      </c>
    </row>
    <row r="22">
      <c r="A22" s="20" t="inlineStr">
        <is>
          <t>Scenario C (500 sqm)</t>
        </is>
      </c>
    </row>
    <row r="23">
      <c r="A23" s="5" t="inlineStr">
        <is>
          <t>Zone</t>
        </is>
      </c>
      <c r="B23" s="5" t="inlineStr">
        <is>
          <t>Zone Budget (sqm)</t>
        </is>
      </c>
      <c r="C23" s="5" t="inlineStr">
        <is>
          <t>Area Used (sqm)</t>
        </is>
      </c>
      <c r="D23" s="5" t="inlineStr">
        <is>
          <t>Utilization %</t>
        </is>
      </c>
      <c r="E23" s="5" t="inlineStr">
        <is>
          <t>Equipment Units</t>
        </is>
      </c>
    </row>
    <row r="24">
      <c r="A24" s="18" t="inlineStr">
        <is>
          <t>Cardio Zone</t>
        </is>
      </c>
      <c r="B24" s="21">
        <f>SUMIFS('Recommendation Model'!$N$7:$N$29,'Recommendation Model'!$B$7:$B$29,A24)/COUNTIFS('Recommendation Model'!$B$7:$B$29,A24)</f>
        <v/>
      </c>
      <c r="C24" s="21">
        <f>SUMIFS('Recommendation Model'!$Q$7:$Q$29,'Recommendation Model'!$B$7:$B$29,A24)</f>
        <v/>
      </c>
      <c r="D24" s="22">
        <f>C24/B24</f>
        <v/>
      </c>
      <c r="E24" s="23">
        <f>SUMIFS('Recommendation Model'!$P$7:$P$29,'Recommendation Model'!$B$7:$B$29,A24)</f>
        <v/>
      </c>
    </row>
    <row r="25">
      <c r="A25" s="18" t="inlineStr">
        <is>
          <t>Free Weight Zone</t>
        </is>
      </c>
      <c r="B25" s="21">
        <f>SUMIFS('Recommendation Model'!$N$7:$N$29,'Recommendation Model'!$B$7:$B$29,A25)/COUNTIFS('Recommendation Model'!$B$7:$B$29,A25)</f>
        <v/>
      </c>
      <c r="C25" s="21">
        <f>SUMIFS('Recommendation Model'!$Q$7:$Q$29,'Recommendation Model'!$B$7:$B$29,A25)</f>
        <v/>
      </c>
      <c r="D25" s="22">
        <f>C25/B25</f>
        <v/>
      </c>
      <c r="E25" s="23">
        <f>SUMIFS('Recommendation Model'!$P$7:$P$29,'Recommendation Model'!$B$7:$B$29,A25)</f>
        <v/>
      </c>
    </row>
    <row r="26">
      <c r="A26" s="18" t="inlineStr">
        <is>
          <t>Machine Zone</t>
        </is>
      </c>
      <c r="B26" s="21">
        <f>SUMIFS('Recommendation Model'!$N$7:$N$29,'Recommendation Model'!$B$7:$B$29,A26)/COUNTIFS('Recommendation Model'!$B$7:$B$29,A26)</f>
        <v/>
      </c>
      <c r="C26" s="21">
        <f>SUMIFS('Recommendation Model'!$Q$7:$Q$29,'Recommendation Model'!$B$7:$B$29,A26)</f>
        <v/>
      </c>
      <c r="D26" s="22">
        <f>C26/B26</f>
        <v/>
      </c>
      <c r="E26" s="23">
        <f>SUMIFS('Recommendation Model'!$P$7:$P$29,'Recommendation Model'!$B$7:$B$29,A26)</f>
        <v/>
      </c>
    </row>
    <row r="27">
      <c r="A27" s="18" t="inlineStr">
        <is>
          <t>Functional Zone</t>
        </is>
      </c>
      <c r="B27" s="21">
        <f>SUMIFS('Recommendation Model'!$N$7:$N$29,'Recommendation Model'!$B$7:$B$29,A27)/COUNTIFS('Recommendation Model'!$B$7:$B$29,A27)</f>
        <v/>
      </c>
      <c r="C27" s="21">
        <f>SUMIFS('Recommendation Model'!$Q$7:$Q$29,'Recommendation Model'!$B$7:$B$29,A27)</f>
        <v/>
      </c>
      <c r="D27" s="22">
        <f>C27/B27</f>
        <v/>
      </c>
      <c r="E27" s="23">
        <f>SUMIFS('Recommendation Model'!$P$7:$P$29,'Recommendation Model'!$B$7:$B$29,A27)</f>
        <v/>
      </c>
    </row>
    <row r="28">
      <c r="A28" s="18" t="inlineStr">
        <is>
          <t>Recovery Zone</t>
        </is>
      </c>
      <c r="B28" s="21">
        <f>SUMIFS('Recommendation Model'!$N$7:$N$29,'Recommendation Model'!$B$7:$B$29,A28)/COUNTIFS('Recommendation Model'!$B$7:$B$29,A28)</f>
        <v/>
      </c>
      <c r="C28" s="21">
        <f>SUMIFS('Recommendation Model'!$Q$7:$Q$29,'Recommendation Model'!$B$7:$B$29,A28)</f>
        <v/>
      </c>
      <c r="D28" s="22">
        <f>C28/B28</f>
        <v/>
      </c>
      <c r="E28" s="23">
        <f>SUMIFS('Recommendation Model'!$P$7:$P$29,'Recommendation Model'!$B$7:$B$29,A28)</f>
        <v/>
      </c>
    </row>
    <row r="29">
      <c r="A29" s="24" t="inlineStr">
        <is>
          <t>Room Total</t>
        </is>
      </c>
      <c r="B29" s="25">
        <f>SUM(B24:B28)</f>
        <v/>
      </c>
      <c r="C29" s="25">
        <f>SUM(C24:C28)</f>
        <v/>
      </c>
      <c r="D29" s="26">
        <f>C29/B29</f>
        <v/>
      </c>
      <c r="E29" s="24">
        <f>SUM(E24:E28)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2026-07-01T13:15:38Z</dcterms:created>
  <dcterms:modified xsi:type="dcterms:W3CDTF">2026-07-01T13:17:26Z</dcterms:modified>
</cp:coreProperties>
</file>